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358f60546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7c876a4ca8b0407c"/>
    <x:sheet xmlns:r="http://schemas.openxmlformats.org/officeDocument/2006/relationships" name="Dashboard" sheetId="2" r:id="R6cc81e5057ee47f9"/>
    <x:sheet xmlns:r="http://schemas.openxmlformats.org/officeDocument/2006/relationships" name="Employees" sheetId="3" r:id="R8febbbc67f794543"/>
    <x:sheet xmlns:r="http://schemas.openxmlformats.org/officeDocument/2006/relationships" name="Attendance" sheetId="4" r:id="Re7d1dc7ef38b4719"/>
    <x:sheet xmlns:r="http://schemas.openxmlformats.org/officeDocument/2006/relationships" name="Payroll" sheetId="5" r:id="Rdae1a9024e6049b3"/>
    <x:sheet xmlns:r="http://schemas.openxmlformats.org/officeDocument/2006/relationships" name="Payslip" sheetId="6" r:id="R565a29453f35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yyyy"/>
    <x:numFmt numFmtId="201" formatCode="yyyy-mm-dd"/>
    <x:numFmt numFmtId="202" formatCode="0.00"/>
    <x:numFmt numFmtId="203" formatCode="#,##0.00"/>
    <x:numFmt numFmtId="204" formatCode="0"/>
  </x:numFmts>
  <x:fonts count="12">
    <x:font>
      <x:sz val="11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sz val="11"/>
      <x:color rgb="111827"/>
      <x:name val="Carlito"/>
    </x:font>
    <x:font>
      <x:b/>
      <x:sz val="18"/>
      <x:color rgb="FFFFFF"/>
      <x:name val="Calibri"/>
    </x:font>
    <x:font>
      <x:sz val="11"/>
      <x:name val="Calibri"/>
    </x:font>
    <x:font>
      <x:b/>
      <x:sz val="11"/>
      <x:name val="Calibri"/>
    </x:font>
    <x:font>
      <x:b/>
      <x:sz val="11"/>
      <x:color rgb="111827"/>
      <x:name val="Calibri"/>
    </x:font>
    <x:font>
      <x:sz val="11"/>
      <x:color rgb="111827"/>
      <x:name val="Calibri"/>
    </x:font>
    <x:font>
      <x:b/>
      <x:sz val="11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F3F4F6"/>
      </x:patternFill>
    </x:fill>
    <x:fill>
      <x:patternFill patternType="solid">
        <x:fgColor rgb="2563EB"/>
      </x:patternFill>
    </x:fill>
    <x:fill>
      <x:patternFill patternType="solid">
        <x:fgColor rgb="FFF7ED"/>
      </x:patternFill>
    </x:fill>
  </x:fills>
  <x:borders count="3"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203" fontId="0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/>
    <x:xf numFmtId="201" fontId="5" fillId="0" borderId="1" xfId="0" applyNumberFormat="1" applyFont="1" applyFill="1" applyBorder="1"/>
    <x:xf numFmtId="203" fontId="5" fillId="0" borderId="1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5" borderId="1" xfId="0" applyNumberFormat="1" applyFont="1" applyFill="1" applyBorder="1"/>
    <x:xf numFmtId="20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200" fontId="7" fillId="0" borderId="1" xfId="0" applyNumberFormat="1" applyFont="1" applyFill="1" applyBorder="1"/>
    <x:xf numFmtId="0" fontId="7" fillId="0" borderId="1" xfId="0" applyNumberFormat="1" applyFont="1" applyFill="1" applyBorder="1"/>
    <x:xf numFmtId="202" fontId="7" fillId="0" borderId="1" xfId="0" applyNumberFormat="1" applyFont="1" applyFill="1" applyBorder="1"/>
    <x:xf numFmtId="201" fontId="7" fillId="0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 wrapText="1"/>
    </x:xf>
    <x:xf numFmtId="200" fontId="10" fillId="0" borderId="1" xfId="0" applyNumberFormat="1" applyFont="1" applyFill="1" applyBorder="1"/>
    <x:xf numFmtId="202" fontId="10" fillId="0" borderId="1" xfId="0" applyNumberFormat="1" applyFont="1" applyFill="1" applyBorder="1"/>
    <x:xf numFmtId="203" fontId="10" fillId="0" borderId="1" xfId="0" applyNumberFormat="1" applyFont="1" applyFill="1" applyBorder="1"/>
    <x:xf numFmtId="0" fontId="8" fillId="3" borderId="0" xfId="0" applyNumberFormat="1" applyFont="1" applyFill="1" applyBorder="1"/>
    <x:xf numFmtId="0" fontId="10" fillId="0" borderId="1" xfId="0" applyNumberFormat="1" applyFont="1" applyFill="1" applyBorder="1"/>
    <x:xf numFmtId="201" fontId="10" fillId="0" borderId="1" xfId="0" applyNumberFormat="1" applyFont="1" applyFill="1" applyBorder="1"/>
    <x:xf numFmtId="0" fontId="11" fillId="4" borderId="2" xfId="0" applyNumberFormat="1" applyFont="1" applyFill="1" applyBorder="1" applyAlignment="1">
      <x:alignment horizontal="center" wrapText="1"/>
    </x:xf>
    <x:xf numFmtId="204" fontId="7" fillId="0" borderId="1" xfId="0" applyNumberFormat="1" applyFont="1" applyFill="1" applyBorder="1"/>
    <x:xf numFmtId="200" fontId="7" fillId="0" borderId="0" xfId="0" applyNumberFormat="1" applyFont="1" applyFill="1" applyBorder="1"/>
    <x:xf numFmtId="203" fontId="10" fillId="5" borderId="1" xfId="0" applyNumberFormat="1" applyFont="1" applyFill="1" applyBorder="1"/>
    <x:xf numFmtId="203" fontId="7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9f6c3121c484a" /><Relationship Type="http://schemas.openxmlformats.org/officeDocument/2006/relationships/theme" Target="/xl/theme/theme1.xml" Id="R971c2f3fb5c74090" /><Relationship Type="http://schemas.openxmlformats.org/officeDocument/2006/relationships/sharedStrings" Target="/xl/sharedStrings.xml" Id="R922600d9cb884f6c" /><Relationship Type="http://schemas.openxmlformats.org/officeDocument/2006/relationships/worksheet" Target="/xl/worksheets/sheet1.xml" Id="R7c876a4ca8b0407c" /><Relationship Type="http://schemas.openxmlformats.org/officeDocument/2006/relationships/worksheet" Target="/xl/worksheets/sheet2.xml" Id="R6cc81e5057ee47f9" /><Relationship Type="http://schemas.openxmlformats.org/officeDocument/2006/relationships/worksheet" Target="/xl/worksheets/sheet3.xml" Id="R8febbbc67f794543" /><Relationship Type="http://schemas.openxmlformats.org/officeDocument/2006/relationships/worksheet" Target="/xl/worksheets/sheet4.xml" Id="Re7d1dc7ef38b4719" /><Relationship Type="http://schemas.openxmlformats.org/officeDocument/2006/relationships/worksheet" Target="/xl/worksheets/sheet5.xml" Id="Rdae1a9024e6049b3" /><Relationship Type="http://schemas.openxmlformats.org/officeDocument/2006/relationships/worksheet" Target="/xl/worksheets/sheet6.xml" Id="R565a29453f35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610000610351562" hidden="0" customWidth="1"/>
    <x:col min="2" max="2" width="22.700000762939453" hidden="0" customWidth="1"/>
    <x:col min="3" max="3" width="4.289999961853027" hidden="0" customWidth="1"/>
    <x:col min="4" max="4" width="4.289999961853027" hidden="0" customWidth="1"/>
    <x:col min="5" max="5" width="4.289999961853027" hidden="0" customWidth="1"/>
  </x:cols>
  <x:sheetData>
    <x:row r="1" ht="27" customHeight="1">
      <x:c r="A1" s="30" t="str">
        <x:v>Attendance &amp; Monthly Salary Setup</x:v>
      </x:c>
      <x:c r="B1" s="30" t="str">
        <x:v>Attendance &amp; Monthly Salary Setup</x:v>
      </x:c>
      <x:c r="C1" s="30" t="str">
        <x:v>Attendance &amp; Monthly Salary Setup</x:v>
      </x:c>
      <x:c r="D1" s="30" t="str">
        <x:v>Attendance &amp; Monthly Salary Setup</x:v>
      </x:c>
      <x:c r="E1" s="30" t="str">
        <x:v>Attendance &amp; Monthly Salary Setup</x:v>
      </x:c>
      <x:c r="F1" s="31"/>
      <x:c r="G1" s="31"/>
      <x:c r="H1" s="31"/>
      <x:c r="I1" s="31"/>
      <x:c r="J1" s="31"/>
      <x:c r="K1" s="31"/>
      <x:c r="L1" s="31"/>
      <x:c r="M1" s="31"/>
      <x:c r="N1" s="31"/>
      <x:c r="O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2" t="str">
        <x:v>Payroll month</x:v>
      </x:c>
      <x:c r="B3" s="33" t="n">
        <x:v>46143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32" t="str">
        <x:v>Regular shift hours</x:v>
      </x:c>
      <x:c r="B4" s="34" t="n">
        <x:v>8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32" t="str">
        <x:v>Standard paid days/month</x:v>
      </x:c>
      <x:c r="B5" s="35" t="n">
        <x:v>26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32" t="str">
        <x:v>Overtime multiplier</x:v>
      </x:c>
      <x:c r="B6" s="35" t="n">
        <x:v>1.5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32" t="str">
        <x:v>Salary payment date</x:v>
      </x:c>
      <x:c r="B7" s="36" t="n">
        <x:f>EOMONTH(B3,0)+1</x:f>
        <x:v>46174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32" t="str">
        <x:v>Currency</x:v>
      </x:c>
      <x:c r="B8" s="34" t="str">
        <x:v>INR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32" t="str">
        <x:v>Attendance capacity</x:v>
      </x:c>
      <x:c r="B9" s="34" t="str">
        <x:v>Up to 50 staff / 1,996 entries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32" t="str">
        <x:v>Instruction</x:v>
      </x:c>
      <x:c r="B10" s="34" t="str">
        <x:v>Update payroll month, employee salaries, then enter daily attendance.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720000267028809" hidden="0" customWidth="1"/>
    <x:col min="2" max="2" width="16.559999465942383" hidden="0" customWidth="1"/>
    <x:col min="3" max="3" width="16.559999465942383" hidden="0" customWidth="1"/>
    <x:col min="4" max="4" width="15.34000015258789" hidden="0" customWidth="1"/>
    <x:col min="5" max="5" width="15.34000015258789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</x:cols>
  <x:sheetData>
    <x:row r="1" ht="27" customHeight="1">
      <x:c r="A1" s="30" t="str">
        <x:v>Payroll Dashboard</x:v>
      </x:c>
      <x:c r="B1" s="30" t="str">
        <x:v>Payroll Dashboard</x:v>
      </x:c>
      <x:c r="C1" s="30" t="str">
        <x:v>Payroll Dashboard</x:v>
      </x:c>
      <x:c r="D1" s="30" t="str">
        <x:v>Payroll Dashboard</x:v>
      </x:c>
      <x:c r="E1" s="30" t="str">
        <x:v>Payroll Dashboard</x:v>
      </x:c>
      <x:c r="F1" s="30" t="str">
        <x:v>Payroll Dashboard</x:v>
      </x:c>
      <x:c r="G1" s="30" t="str">
        <x:v>Payroll Dashboard</x:v>
      </x:c>
      <x:c r="H1" s="30" t="str">
        <x:v>Payroll Dashboard</x:v>
      </x:c>
      <x:c r="I1" s="31"/>
      <x:c r="J1" s="31"/>
      <x:c r="K1" s="31"/>
      <x:c r="L1" s="31"/>
      <x:c r="M1" s="31"/>
      <x:c r="N1" s="31"/>
      <x:c r="O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7" t="str">
        <x:v>Month</x:v>
      </x:c>
      <x:c r="B3" s="37" t="str">
        <x:v>Active Staff</x:v>
      </x:c>
      <x:c r="C3" s="37" t="str">
        <x:v>Attendance Entries</x:v>
      </x:c>
      <x:c r="D3" s="37" t="str">
        <x:v>Regular Paid Hours</x:v>
      </x:c>
      <x:c r="E3" s="37" t="str">
        <x:v>Overtime Hours</x:v>
      </x:c>
      <x:c r="F3" s="37" t="str">
        <x:v>Gross Pay</x:v>
      </x:c>
      <x:c r="G3" s="37" t="str">
        <x:v>Deductions</x:v>
      </x:c>
      <x:c r="H3" s="37" t="str">
        <x:v>Net Pay</x:v>
      </x:c>
      <x:c r="I3" s="31"/>
      <x:c r="J3" s="31"/>
      <x:c r="K3" s="31"/>
      <x:c r="L3" s="31"/>
      <x:c r="M3" s="31"/>
      <x:c r="N3" s="31"/>
      <x:c r="O3" s="31"/>
    </x:row>
    <x:row r="4">
      <x:c r="A4" s="38" t="n">
        <x:f>Payroll!B3</x:f>
        <x:v>46143</x:v>
      </x:c>
      <x:c r="B4" s="39" t="n">
        <x:f>COUNTIF(Employees!$F$4:$F$53,"Active")</x:f>
        <x:v>25</x:v>
      </x:c>
      <x:c r="C4" s="39" t="n">
        <x:f>COUNTIFS(Attendance!$A$4:$A$1999,"&gt;=1",Attendance!$K$4:$K$1999,Payroll!$B$3)</x:f>
        <x:v>0</x:v>
      </x:c>
      <x:c r="D4" s="39" t="n">
        <x:f>SUM(Payroll!I6:I55)</x:f>
        <x:v>0</x:v>
      </x:c>
      <x:c r="E4" s="39" t="n">
        <x:f>SUM(Payroll!J6:J55)</x:f>
        <x:v>0</x:v>
      </x:c>
      <x:c r="F4" s="40" t="n">
        <x:f>SUM(Payroll!M6:M55)</x:f>
        <x:v>0</x:v>
      </x:c>
      <x:c r="G4" s="40" t="n">
        <x:f>SUM(Payroll!N6:N55)</x:f>
        <x:v>0</x:v>
      </x:c>
      <x:c r="H4" s="40" t="n">
        <x:f>SUM(Payroll!O6:O55)</x:f>
        <x:v>0</x:v>
      </x:c>
      <x:c r="I4" s="31"/>
      <x:c r="J4" s="31"/>
      <x:c r="K4" s="31"/>
      <x:c r="L4" s="31"/>
      <x:c r="M4" s="31"/>
      <x:c r="N4" s="31"/>
      <x:c r="O4" s="31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41" t="str">
        <x:v>Top Overtime Staff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31"/>
      <x:c r="J7" s="31"/>
      <x:c r="K7" s="31"/>
      <x:c r="L7" s="31"/>
      <x:c r="M7" s="31"/>
      <x:c r="N7" s="31"/>
      <x:c r="O7" s="31"/>
    </x:row>
    <x:row r="8">
      <x:c r="A8" s="37" t="str">
        <x:v>Emp ID</x:v>
      </x:c>
      <x:c r="B8" s="37" t="str">
        <x:v>Employee Name</x:v>
      </x:c>
      <x:c r="C8" s="37" t="str">
        <x:v>Overtime Hours</x:v>
      </x:c>
      <x:c r="D8" s="37" t="str">
        <x:v>Overtime Pay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42" t="str">
        <x:f>IFERROR(INDEX(SORTBY(Payroll!$A$6:$A$55,Payroll!$J$6:$J$55,-1),1),"")</x:f>
        <x:v>EMP001</x:v>
      </x:c>
      <x:c r="B9" s="42" t="str">
        <x:f>IF(A9="","",XLOOKUP(A9,Payroll!$A$6:$A$55,Payroll!$B$6:$B$55,""))</x:f>
        <x:v>Staff 1</x:v>
      </x:c>
      <x:c r="C9" s="39" t="n">
        <x:f>IF(A9="","",XLOOKUP(A9,Payroll!$A$6:$A$55,Payroll!$J$6:$J$55,0))</x:f>
        <x:v>0</x:v>
      </x:c>
      <x:c r="D9" s="40" t="n">
        <x:f>IF(A9="","",XLOOKUP(A9,Payroll!$A$6:$A$55,Payroll!$L$6:$L$55,0))</x:f>
        <x:v>0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42" t="str">
        <x:f>IFERROR(INDEX(SORTBY(Payroll!$A$6:$A$55,Payroll!$J$6:$J$55,-1),2),"")</x:f>
        <x:v>EMP002</x:v>
      </x:c>
      <x:c r="B10" s="42" t="str">
        <x:f>IF(A10="","",XLOOKUP(A10,Payroll!$A$6:$A$55,Payroll!$B$6:$B$55,""))</x:f>
        <x:v>Staff 2</x:v>
      </x:c>
      <x:c r="C10" s="39" t="n">
        <x:f>IF(A10="","",XLOOKUP(A10,Payroll!$A$6:$A$55,Payroll!$J$6:$J$55,0))</x:f>
        <x:v>0</x:v>
      </x:c>
      <x:c r="D10" s="40" t="n">
        <x:f>IF(A10="","",XLOOKUP(A10,Payroll!$A$6:$A$55,Payroll!$L$6:$L$55,0))</x:f>
        <x:v>0</x:v>
      </x:c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42" t="str">
        <x:f>IFERROR(INDEX(SORTBY(Payroll!$A$6:$A$55,Payroll!$J$6:$J$55,-1),3),"")</x:f>
        <x:v>EMP003</x:v>
      </x:c>
      <x:c r="B11" s="42" t="str">
        <x:f>IF(A11="","",XLOOKUP(A11,Payroll!$A$6:$A$55,Payroll!$B$6:$B$55,""))</x:f>
        <x:v>Staff 3</x:v>
      </x:c>
      <x:c r="C11" s="39" t="n">
        <x:f>IF(A11="","",XLOOKUP(A11,Payroll!$A$6:$A$55,Payroll!$J$6:$J$55,0))</x:f>
        <x:v>0</x:v>
      </x:c>
      <x:c r="D11" s="40" t="n">
        <x:f>IF(A11="","",XLOOKUP(A11,Payroll!$A$6:$A$55,Payroll!$L$6:$L$55,0))</x:f>
        <x:v>0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42" t="str">
        <x:f>IFERROR(INDEX(SORTBY(Payroll!$A$6:$A$55,Payroll!$J$6:$J$55,-1),4),"")</x:f>
        <x:v>EMP004</x:v>
      </x:c>
      <x:c r="B12" s="42" t="str">
        <x:f>IF(A12="","",XLOOKUP(A12,Payroll!$A$6:$A$55,Payroll!$B$6:$B$55,""))</x:f>
        <x:v>Staff 4</x:v>
      </x:c>
      <x:c r="C12" s="39" t="n">
        <x:f>IF(A12="","",XLOOKUP(A12,Payroll!$A$6:$A$55,Payroll!$J$6:$J$55,0))</x:f>
        <x:v>0</x:v>
      </x:c>
      <x:c r="D12" s="40" t="n">
        <x:f>IF(A12="","",XLOOKUP(A12,Payroll!$A$6:$A$55,Payroll!$L$6:$L$55,0))</x:f>
        <x:v>0</x:v>
      </x:c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42" t="str">
        <x:f>IFERROR(INDEX(SORTBY(Payroll!$A$6:$A$55,Payroll!$J$6:$J$55,-1),5),"")</x:f>
        <x:v>EMP005</x:v>
      </x:c>
      <x:c r="B13" s="42" t="str">
        <x:f>IF(A13="","",XLOOKUP(A13,Payroll!$A$6:$A$55,Payroll!$B$6:$B$55,""))</x:f>
        <x:v>Staff 5</x:v>
      </x:c>
      <x:c r="C13" s="39" t="n">
        <x:f>IF(A13="","",XLOOKUP(A13,Payroll!$A$6:$A$55,Payroll!$J$6:$J$55,0))</x:f>
        <x:v>0</x:v>
      </x:c>
      <x:c r="D13" s="40" t="n">
        <x:f>IF(A13="","",XLOOKUP(A13,Payroll!$A$6:$A$55,Payroll!$L$6:$L$55,0))</x:f>
        <x:v>0</x:v>
      </x:c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42" t="str">
        <x:f>IFERROR(INDEX(SORTBY(Payroll!$A$6:$A$55,Payroll!$J$6:$J$55,-1),6),"")</x:f>
        <x:v>EMP006</x:v>
      </x:c>
      <x:c r="B14" s="42" t="str">
        <x:f>IF(A14="","",XLOOKUP(A14,Payroll!$A$6:$A$55,Payroll!$B$6:$B$55,""))</x:f>
        <x:v>Staff 6</x:v>
      </x:c>
      <x:c r="C14" s="39" t="n">
        <x:f>IF(A14="","",XLOOKUP(A14,Payroll!$A$6:$A$55,Payroll!$J$6:$J$55,0))</x:f>
        <x:v>0</x:v>
      </x:c>
      <x:c r="D14" s="40" t="n">
        <x:f>IF(A14="","",XLOOKUP(A14,Payroll!$A$6:$A$55,Payroll!$L$6:$L$55,0))</x:f>
        <x:v>0</x:v>
      </x:c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42" t="str">
        <x:f>IFERROR(INDEX(SORTBY(Payroll!$A$6:$A$55,Payroll!$J$6:$J$55,-1),7),"")</x:f>
        <x:v>EMP007</x:v>
      </x:c>
      <x:c r="B15" s="42" t="str">
        <x:f>IF(A15="","",XLOOKUP(A15,Payroll!$A$6:$A$55,Payroll!$B$6:$B$55,""))</x:f>
        <x:v>Staff 7</x:v>
      </x:c>
      <x:c r="C15" s="39" t="n">
        <x:f>IF(A15="","",XLOOKUP(A15,Payroll!$A$6:$A$55,Payroll!$J$6:$J$55,0))</x:f>
        <x:v>0</x:v>
      </x:c>
      <x:c r="D15" s="40" t="n">
        <x:f>IF(A15="","",XLOOKUP(A15,Payroll!$A$6:$A$55,Payroll!$L$6:$L$55,0))</x:f>
        <x:v>0</x:v>
      </x:c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42" t="str">
        <x:f>IFERROR(INDEX(SORTBY(Payroll!$A$6:$A$55,Payroll!$J$6:$J$55,-1),8),"")</x:f>
        <x:v>EMP008</x:v>
      </x:c>
      <x:c r="B16" s="42" t="str">
        <x:f>IF(A16="","",XLOOKUP(A16,Payroll!$A$6:$A$55,Payroll!$B$6:$B$55,""))</x:f>
        <x:v>Staff 8</x:v>
      </x:c>
      <x:c r="C16" s="39" t="n">
        <x:f>IF(A16="","",XLOOKUP(A16,Payroll!$A$6:$A$55,Payroll!$J$6:$J$55,0))</x:f>
        <x:v>0</x:v>
      </x:c>
      <x:c r="D16" s="40" t="n">
        <x:f>IF(A16="","",XLOOKUP(A16,Payroll!$A$6:$A$55,Payroll!$L$6:$L$55,0))</x:f>
        <x:v>0</x:v>
      </x:c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42" t="str">
        <x:f>IFERROR(INDEX(SORTBY(Payroll!$A$6:$A$55,Payroll!$J$6:$J$55,-1),9),"")</x:f>
        <x:v>EMP009</x:v>
      </x:c>
      <x:c r="B17" s="42" t="str">
        <x:f>IF(A17="","",XLOOKUP(A17,Payroll!$A$6:$A$55,Payroll!$B$6:$B$55,""))</x:f>
        <x:v>Staff 9</x:v>
      </x:c>
      <x:c r="C17" s="39" t="n">
        <x:f>IF(A17="","",XLOOKUP(A17,Payroll!$A$6:$A$55,Payroll!$J$6:$J$55,0))</x:f>
        <x:v>0</x:v>
      </x:c>
      <x:c r="D17" s="40" t="n">
        <x:f>IF(A17="","",XLOOKUP(A17,Payroll!$A$6:$A$55,Payroll!$L$6:$L$55,0))</x:f>
        <x:v>0</x:v>
      </x:c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42" t="str">
        <x:f>IFERROR(INDEX(SORTBY(Payroll!$A$6:$A$55,Payroll!$J$6:$J$55,-1),10),"")</x:f>
        <x:v>EMP010</x:v>
      </x:c>
      <x:c r="B18" s="42" t="str">
        <x:f>IF(A18="","",XLOOKUP(A18,Payroll!$A$6:$A$55,Payroll!$B$6:$B$55,""))</x:f>
        <x:v>Staff 10</x:v>
      </x:c>
      <x:c r="C18" s="39" t="n">
        <x:f>IF(A18="","",XLOOKUP(A18,Payroll!$A$6:$A$55,Payroll!$J$6:$J$55,0))</x:f>
        <x:v>0</x:v>
      </x:c>
      <x:c r="D18" s="40" t="n">
        <x:f>IF(A18="","",XLOOKUP(A18,Payroll!$A$6:$A$55,Payroll!$L$6:$L$55,0))</x:f>
        <x:v>0</x:v>
      </x:c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</x:sheetData>
  <x:mergeCells>
    <x:mergeCell ref="A1:H1"/>
    <x:mergeCell ref="A7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19999694824219" hidden="0" customWidth="1"/>
    <x:col min="2" max="2" width="19.020000457763672" hidden="0" customWidth="1"/>
    <x:col min="3" max="3" width="15.34000015258789" hidden="0" customWidth="1"/>
    <x:col min="4" max="4" width="15.34000015258789" hidden="0" customWidth="1"/>
    <x:col min="5" max="5" width="12.880000114440918" hidden="0" customWidth="1"/>
    <x:col min="6" max="6" width="11.039999961853027" hidden="0" customWidth="1"/>
    <x:col min="7" max="7" width="17.18000030517578" hidden="0" customWidth="1"/>
    <x:col min="8" max="8" width="12.270000457763672" hidden="0" customWidth="1"/>
    <x:col min="9" max="9" width="11.039999961853027" hidden="0" customWidth="1"/>
    <x:col min="10" max="10" width="17.790000915527344" hidden="0" customWidth="1"/>
    <x:col min="11" max="11" width="21.469999313354492" hidden="0" customWidth="1"/>
  </x:cols>
  <x:sheetData>
    <x:row r="1" ht="27" customHeight="1">
      <x:c r="A1" s="30" t="str">
        <x:v>Employee Master</x:v>
      </x:c>
      <x:c r="B1" s="30" t="str">
        <x:v>Employee Master</x:v>
      </x:c>
      <x:c r="C1" s="30" t="str">
        <x:v>Employee Master</x:v>
      </x:c>
      <x:c r="D1" s="30" t="str">
        <x:v>Employee Master</x:v>
      </x:c>
      <x:c r="E1" s="30" t="str">
        <x:v>Employee Master</x:v>
      </x:c>
      <x:c r="F1" s="30" t="str">
        <x:v>Employee Master</x:v>
      </x:c>
      <x:c r="G1" s="30" t="str">
        <x:v>Employee Master</x:v>
      </x:c>
      <x:c r="H1" s="30" t="str">
        <x:v>Employee Master</x:v>
      </x:c>
      <x:c r="I1" s="30" t="str">
        <x:v>Employee Master</x:v>
      </x:c>
      <x:c r="J1" s="30" t="str">
        <x:v>Employee Master</x:v>
      </x:c>
      <x:c r="K1" s="30" t="str">
        <x:v>Employee Master</x:v>
      </x:c>
      <x:c r="L1" s="31"/>
      <x:c r="M1" s="31"/>
      <x:c r="N1" s="31"/>
      <x:c r="O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7" t="str">
        <x:v>Emp ID</x:v>
      </x:c>
      <x:c r="B3" s="37" t="str">
        <x:v>Employee Name</x:v>
      </x:c>
      <x:c r="C3" s="37" t="str">
        <x:v>Role</x:v>
      </x:c>
      <x:c r="D3" s="37" t="str">
        <x:v>Department</x:v>
      </x:c>
      <x:c r="E3" s="37" t="str">
        <x:v>Joining Date</x:v>
      </x:c>
      <x:c r="F3" s="37" t="str">
        <x:v>Status</x:v>
      </x:c>
      <x:c r="G3" s="37" t="str">
        <x:v>Monthly Base Salary</x:v>
      </x:c>
      <x:c r="H3" s="37" t="str">
        <x:v>Hourly Rate</x:v>
      </x:c>
      <x:c r="I3" s="37" t="str">
        <x:v>OT Rate</x:v>
      </x:c>
      <x:c r="J3" s="37" t="str">
        <x:v>Bank / UPI</x:v>
      </x:c>
      <x:c r="K3" s="37" t="str">
        <x:v>Notes</x:v>
      </x:c>
      <x:c r="L3" s="31"/>
      <x:c r="M3" s="31"/>
      <x:c r="N3" s="31"/>
      <x:c r="O3" s="31"/>
    </x:row>
    <x:row r="4">
      <x:c r="A4" s="42" t="str">
        <x:v>EMP001</x:v>
      </x:c>
      <x:c r="B4" s="42" t="str">
        <x:v>Staff 1</x:v>
      </x:c>
      <x:c r="C4" s="42" t="str"/>
      <x:c r="D4" s="42" t="str"/>
      <x:c r="E4" s="43" t="str"/>
      <x:c r="F4" s="42" t="str">
        <x:v>Active</x:v>
      </x:c>
      <x:c r="G4" s="40" t="n">
        <x:v>20000</x:v>
      </x:c>
      <x:c r="H4" s="40" t="n">
        <x:f>IF(G4="","",G4/(Setup!$B$5*Setup!$B$4))</x:f>
        <x:v>96.15384615384616</x:v>
      </x:c>
      <x:c r="I4" s="40" t="n">
        <x:f>IF(H4="","",H4*Setup!$B$6)</x:f>
        <x:v>144.23076923076923</x:v>
      </x:c>
      <x:c r="J4" s="42" t="str"/>
      <x:c r="K4" s="42" t="str"/>
      <x:c r="L4" s="31"/>
      <x:c r="M4" s="31"/>
      <x:c r="N4" s="31"/>
      <x:c r="O4" s="31"/>
    </x:row>
    <x:row r="5">
      <x:c r="A5" s="42" t="str">
        <x:v>EMP002</x:v>
      </x:c>
      <x:c r="B5" s="42" t="str">
        <x:v>Staff 2</x:v>
      </x:c>
      <x:c r="C5" s="42" t="str"/>
      <x:c r="D5" s="42" t="str"/>
      <x:c r="E5" s="43" t="str"/>
      <x:c r="F5" s="42" t="str">
        <x:v>Active</x:v>
      </x:c>
      <x:c r="G5" s="40" t="n">
        <x:v>20000</x:v>
      </x:c>
      <x:c r="H5" s="40" t="n">
        <x:f>IF(G5="","",G5/(Setup!$B$5*Setup!$B$4))</x:f>
        <x:v>96.15384615384616</x:v>
      </x:c>
      <x:c r="I5" s="40" t="n">
        <x:f>IF(H5="","",H5*Setup!$B$6)</x:f>
        <x:v>144.23076923076923</x:v>
      </x:c>
      <x:c r="J5" s="42" t="str"/>
      <x:c r="K5" s="42" t="str"/>
      <x:c r="L5" s="31"/>
      <x:c r="M5" s="31"/>
      <x:c r="N5" s="31"/>
      <x:c r="O5" s="31"/>
    </x:row>
    <x:row r="6">
      <x:c r="A6" s="42" t="str">
        <x:v>EMP003</x:v>
      </x:c>
      <x:c r="B6" s="42" t="str">
        <x:v>Staff 3</x:v>
      </x:c>
      <x:c r="C6" s="42" t="str"/>
      <x:c r="D6" s="42" t="str"/>
      <x:c r="E6" s="43" t="str"/>
      <x:c r="F6" s="42" t="str">
        <x:v>Active</x:v>
      </x:c>
      <x:c r="G6" s="40" t="n">
        <x:v>20000</x:v>
      </x:c>
      <x:c r="H6" s="40" t="n">
        <x:f>IF(G6="","",G6/(Setup!$B$5*Setup!$B$4))</x:f>
        <x:v>96.15384615384616</x:v>
      </x:c>
      <x:c r="I6" s="40" t="n">
        <x:f>IF(H6="","",H6*Setup!$B$6)</x:f>
        <x:v>144.23076923076923</x:v>
      </x:c>
      <x:c r="J6" s="42" t="str"/>
      <x:c r="K6" s="42" t="str"/>
      <x:c r="L6" s="31"/>
      <x:c r="M6" s="31"/>
      <x:c r="N6" s="31"/>
      <x:c r="O6" s="31"/>
    </x:row>
    <x:row r="7">
      <x:c r="A7" s="42" t="str">
        <x:v>EMP004</x:v>
      </x:c>
      <x:c r="B7" s="42" t="str">
        <x:v>Staff 4</x:v>
      </x:c>
      <x:c r="C7" s="42" t="str"/>
      <x:c r="D7" s="42" t="str"/>
      <x:c r="E7" s="43" t="str"/>
      <x:c r="F7" s="42" t="str">
        <x:v>Active</x:v>
      </x:c>
      <x:c r="G7" s="40" t="n">
        <x:v>20000</x:v>
      </x:c>
      <x:c r="H7" s="40" t="n">
        <x:f>IF(G7="","",G7/(Setup!$B$5*Setup!$B$4))</x:f>
        <x:v>96.15384615384616</x:v>
      </x:c>
      <x:c r="I7" s="40" t="n">
        <x:f>IF(H7="","",H7*Setup!$B$6)</x:f>
        <x:v>144.23076923076923</x:v>
      </x:c>
      <x:c r="J7" s="42" t="str"/>
      <x:c r="K7" s="42" t="str"/>
      <x:c r="L7" s="31"/>
      <x:c r="M7" s="31"/>
      <x:c r="N7" s="31"/>
      <x:c r="O7" s="31"/>
    </x:row>
    <x:row r="8">
      <x:c r="A8" s="42" t="str">
        <x:v>EMP005</x:v>
      </x:c>
      <x:c r="B8" s="42" t="str">
        <x:v>Staff 5</x:v>
      </x:c>
      <x:c r="C8" s="42" t="str"/>
      <x:c r="D8" s="42" t="str"/>
      <x:c r="E8" s="43" t="str"/>
      <x:c r="F8" s="42" t="str">
        <x:v>Active</x:v>
      </x:c>
      <x:c r="G8" s="40" t="n">
        <x:v>20000</x:v>
      </x:c>
      <x:c r="H8" s="40" t="n">
        <x:f>IF(G8="","",G8/(Setup!$B$5*Setup!$B$4))</x:f>
        <x:v>96.15384615384616</x:v>
      </x:c>
      <x:c r="I8" s="40" t="n">
        <x:f>IF(H8="","",H8*Setup!$B$6)</x:f>
        <x:v>144.23076923076923</x:v>
      </x:c>
      <x:c r="J8" s="42" t="str"/>
      <x:c r="K8" s="42" t="str"/>
      <x:c r="L8" s="31"/>
      <x:c r="M8" s="31"/>
      <x:c r="N8" s="31"/>
      <x:c r="O8" s="31"/>
    </x:row>
    <x:row r="9">
      <x:c r="A9" s="42" t="str">
        <x:v>EMP006</x:v>
      </x:c>
      <x:c r="B9" s="42" t="str">
        <x:v>Staff 6</x:v>
      </x:c>
      <x:c r="C9" s="42" t="str"/>
      <x:c r="D9" s="42" t="str"/>
      <x:c r="E9" s="43" t="str"/>
      <x:c r="F9" s="42" t="str">
        <x:v>Active</x:v>
      </x:c>
      <x:c r="G9" s="40" t="n">
        <x:v>20000</x:v>
      </x:c>
      <x:c r="H9" s="40" t="n">
        <x:f>IF(G9="","",G9/(Setup!$B$5*Setup!$B$4))</x:f>
        <x:v>96.15384615384616</x:v>
      </x:c>
      <x:c r="I9" s="40" t="n">
        <x:f>IF(H9="","",H9*Setup!$B$6)</x:f>
        <x:v>144.23076923076923</x:v>
      </x:c>
      <x:c r="J9" s="42" t="str"/>
      <x:c r="K9" s="42" t="str"/>
      <x:c r="L9" s="31"/>
      <x:c r="M9" s="31"/>
      <x:c r="N9" s="31"/>
      <x:c r="O9" s="31"/>
    </x:row>
    <x:row r="10">
      <x:c r="A10" s="42" t="str">
        <x:v>EMP007</x:v>
      </x:c>
      <x:c r="B10" s="42" t="str">
        <x:v>Staff 7</x:v>
      </x:c>
      <x:c r="C10" s="42" t="str"/>
      <x:c r="D10" s="42" t="str"/>
      <x:c r="E10" s="43" t="str"/>
      <x:c r="F10" s="42" t="str">
        <x:v>Active</x:v>
      </x:c>
      <x:c r="G10" s="40" t="n">
        <x:v>20000</x:v>
      </x:c>
      <x:c r="H10" s="40" t="n">
        <x:f>IF(G10="","",G10/(Setup!$B$5*Setup!$B$4))</x:f>
        <x:v>96.15384615384616</x:v>
      </x:c>
      <x:c r="I10" s="40" t="n">
        <x:f>IF(H10="","",H10*Setup!$B$6)</x:f>
        <x:v>144.23076923076923</x:v>
      </x:c>
      <x:c r="J10" s="42" t="str"/>
      <x:c r="K10" s="42" t="str"/>
      <x:c r="L10" s="31"/>
      <x:c r="M10" s="31"/>
      <x:c r="N10" s="31"/>
      <x:c r="O10" s="31"/>
    </x:row>
    <x:row r="11">
      <x:c r="A11" s="42" t="str">
        <x:v>EMP008</x:v>
      </x:c>
      <x:c r="B11" s="42" t="str">
        <x:v>Staff 8</x:v>
      </x:c>
      <x:c r="C11" s="42" t="str"/>
      <x:c r="D11" s="42" t="str"/>
      <x:c r="E11" s="43" t="str"/>
      <x:c r="F11" s="42" t="str">
        <x:v>Active</x:v>
      </x:c>
      <x:c r="G11" s="40" t="n">
        <x:v>20000</x:v>
      </x:c>
      <x:c r="H11" s="40" t="n">
        <x:f>IF(G11="","",G11/(Setup!$B$5*Setup!$B$4))</x:f>
        <x:v>96.15384615384616</x:v>
      </x:c>
      <x:c r="I11" s="40" t="n">
        <x:f>IF(H11="","",H11*Setup!$B$6)</x:f>
        <x:v>144.23076923076923</x:v>
      </x:c>
      <x:c r="J11" s="42" t="str"/>
      <x:c r="K11" s="42" t="str"/>
      <x:c r="L11" s="31"/>
      <x:c r="M11" s="31"/>
      <x:c r="N11" s="31"/>
      <x:c r="O11" s="31"/>
    </x:row>
    <x:row r="12">
      <x:c r="A12" s="42" t="str">
        <x:v>EMP009</x:v>
      </x:c>
      <x:c r="B12" s="42" t="str">
        <x:v>Staff 9</x:v>
      </x:c>
      <x:c r="C12" s="42" t="str"/>
      <x:c r="D12" s="42" t="str"/>
      <x:c r="E12" s="43" t="str"/>
      <x:c r="F12" s="42" t="str">
        <x:v>Active</x:v>
      </x:c>
      <x:c r="G12" s="40" t="n">
        <x:v>20000</x:v>
      </x:c>
      <x:c r="H12" s="40" t="n">
        <x:f>IF(G12="","",G12/(Setup!$B$5*Setup!$B$4))</x:f>
        <x:v>96.15384615384616</x:v>
      </x:c>
      <x:c r="I12" s="40" t="n">
        <x:f>IF(H12="","",H12*Setup!$B$6)</x:f>
        <x:v>144.23076923076923</x:v>
      </x:c>
      <x:c r="J12" s="42" t="str"/>
      <x:c r="K12" s="42" t="str"/>
      <x:c r="L12" s="31"/>
      <x:c r="M12" s="31"/>
      <x:c r="N12" s="31"/>
      <x:c r="O12" s="31"/>
    </x:row>
    <x:row r="13">
      <x:c r="A13" s="42" t="str">
        <x:v>EMP010</x:v>
      </x:c>
      <x:c r="B13" s="42" t="str">
        <x:v>Staff 10</x:v>
      </x:c>
      <x:c r="C13" s="42" t="str"/>
      <x:c r="D13" s="42" t="str"/>
      <x:c r="E13" s="43" t="str"/>
      <x:c r="F13" s="42" t="str">
        <x:v>Active</x:v>
      </x:c>
      <x:c r="G13" s="40" t="n">
        <x:v>20000</x:v>
      </x:c>
      <x:c r="H13" s="40" t="n">
        <x:f>IF(G13="","",G13/(Setup!$B$5*Setup!$B$4))</x:f>
        <x:v>96.15384615384616</x:v>
      </x:c>
      <x:c r="I13" s="40" t="n">
        <x:f>IF(H13="","",H13*Setup!$B$6)</x:f>
        <x:v>144.23076923076923</x:v>
      </x:c>
      <x:c r="J13" s="42" t="str"/>
      <x:c r="K13" s="42" t="str"/>
      <x:c r="L13" s="31"/>
      <x:c r="M13" s="31"/>
      <x:c r="N13" s="31"/>
      <x:c r="O13" s="31"/>
    </x:row>
    <x:row r="14">
      <x:c r="A14" s="42" t="str">
        <x:v>EMP011</x:v>
      </x:c>
      <x:c r="B14" s="42" t="str">
        <x:v>Staff 11</x:v>
      </x:c>
      <x:c r="C14" s="42" t="str"/>
      <x:c r="D14" s="42" t="str"/>
      <x:c r="E14" s="43" t="str"/>
      <x:c r="F14" s="42" t="str">
        <x:v>Active</x:v>
      </x:c>
      <x:c r="G14" s="40" t="n">
        <x:v>20000</x:v>
      </x:c>
      <x:c r="H14" s="40" t="n">
        <x:f>IF(G14="","",G14/(Setup!$B$5*Setup!$B$4))</x:f>
        <x:v>96.15384615384616</x:v>
      </x:c>
      <x:c r="I14" s="40" t="n">
        <x:f>IF(H14="","",H14*Setup!$B$6)</x:f>
        <x:v>144.23076923076923</x:v>
      </x:c>
      <x:c r="J14" s="42" t="str"/>
      <x:c r="K14" s="42" t="str"/>
      <x:c r="L14" s="31"/>
      <x:c r="M14" s="31"/>
      <x:c r="N14" s="31"/>
      <x:c r="O14" s="31"/>
    </x:row>
    <x:row r="15">
      <x:c r="A15" s="42" t="str">
        <x:v>EMP012</x:v>
      </x:c>
      <x:c r="B15" s="42" t="str">
        <x:v>Staff 12</x:v>
      </x:c>
      <x:c r="C15" s="42" t="str"/>
      <x:c r="D15" s="42" t="str"/>
      <x:c r="E15" s="43" t="str"/>
      <x:c r="F15" s="42" t="str">
        <x:v>Active</x:v>
      </x:c>
      <x:c r="G15" s="40" t="n">
        <x:v>20000</x:v>
      </x:c>
      <x:c r="H15" s="40" t="n">
        <x:f>IF(G15="","",G15/(Setup!$B$5*Setup!$B$4))</x:f>
        <x:v>96.15384615384616</x:v>
      </x:c>
      <x:c r="I15" s="40" t="n">
        <x:f>IF(H15="","",H15*Setup!$B$6)</x:f>
        <x:v>144.23076923076923</x:v>
      </x:c>
      <x:c r="J15" s="42" t="str"/>
      <x:c r="K15" s="42" t="str"/>
      <x:c r="L15" s="31"/>
      <x:c r="M15" s="31"/>
      <x:c r="N15" s="31"/>
      <x:c r="O15" s="31"/>
    </x:row>
    <x:row r="16">
      <x:c r="A16" s="42" t="str">
        <x:v>EMP013</x:v>
      </x:c>
      <x:c r="B16" s="42" t="str">
        <x:v>Staff 13</x:v>
      </x:c>
      <x:c r="C16" s="42" t="str"/>
      <x:c r="D16" s="42" t="str"/>
      <x:c r="E16" s="43" t="str"/>
      <x:c r="F16" s="42" t="str">
        <x:v>Active</x:v>
      </x:c>
      <x:c r="G16" s="40" t="n">
        <x:v>20000</x:v>
      </x:c>
      <x:c r="H16" s="40" t="n">
        <x:f>IF(G16="","",G16/(Setup!$B$5*Setup!$B$4))</x:f>
        <x:v>96.15384615384616</x:v>
      </x:c>
      <x:c r="I16" s="40" t="n">
        <x:f>IF(H16="","",H16*Setup!$B$6)</x:f>
        <x:v>144.23076923076923</x:v>
      </x:c>
      <x:c r="J16" s="42" t="str"/>
      <x:c r="K16" s="42" t="str"/>
      <x:c r="L16" s="31"/>
      <x:c r="M16" s="31"/>
      <x:c r="N16" s="31"/>
      <x:c r="O16" s="31"/>
    </x:row>
    <x:row r="17">
      <x:c r="A17" s="42" t="str">
        <x:v>EMP014</x:v>
      </x:c>
      <x:c r="B17" s="42" t="str">
        <x:v>Staff 14</x:v>
      </x:c>
      <x:c r="C17" s="42" t="str"/>
      <x:c r="D17" s="42" t="str"/>
      <x:c r="E17" s="43" t="str"/>
      <x:c r="F17" s="42" t="str">
        <x:v>Active</x:v>
      </x:c>
      <x:c r="G17" s="40" t="n">
        <x:v>20000</x:v>
      </x:c>
      <x:c r="H17" s="40" t="n">
        <x:f>IF(G17="","",G17/(Setup!$B$5*Setup!$B$4))</x:f>
        <x:v>96.15384615384616</x:v>
      </x:c>
      <x:c r="I17" s="40" t="n">
        <x:f>IF(H17="","",H17*Setup!$B$6)</x:f>
        <x:v>144.23076923076923</x:v>
      </x:c>
      <x:c r="J17" s="42" t="str"/>
      <x:c r="K17" s="42" t="str"/>
      <x:c r="L17" s="31"/>
      <x:c r="M17" s="31"/>
      <x:c r="N17" s="31"/>
      <x:c r="O17" s="31"/>
    </x:row>
    <x:row r="18">
      <x:c r="A18" s="42" t="str">
        <x:v>EMP015</x:v>
      </x:c>
      <x:c r="B18" s="42" t="str">
        <x:v>Staff 15</x:v>
      </x:c>
      <x:c r="C18" s="42" t="str"/>
      <x:c r="D18" s="42" t="str"/>
      <x:c r="E18" s="43" t="str"/>
      <x:c r="F18" s="42" t="str">
        <x:v>Active</x:v>
      </x:c>
      <x:c r="G18" s="40" t="n">
        <x:v>20000</x:v>
      </x:c>
      <x:c r="H18" s="40" t="n">
        <x:f>IF(G18="","",G18/(Setup!$B$5*Setup!$B$4))</x:f>
        <x:v>96.15384615384616</x:v>
      </x:c>
      <x:c r="I18" s="40" t="n">
        <x:f>IF(H18="","",H18*Setup!$B$6)</x:f>
        <x:v>144.23076923076923</x:v>
      </x:c>
      <x:c r="J18" s="42" t="str"/>
      <x:c r="K18" s="42" t="str"/>
      <x:c r="L18" s="31"/>
      <x:c r="M18" s="31"/>
      <x:c r="N18" s="31"/>
      <x:c r="O18" s="31"/>
    </x:row>
    <x:row r="19">
      <x:c r="A19" s="42" t="str">
        <x:v>EMP016</x:v>
      </x:c>
      <x:c r="B19" s="42" t="str">
        <x:v>Staff 16</x:v>
      </x:c>
      <x:c r="C19" s="42" t="str"/>
      <x:c r="D19" s="42" t="str"/>
      <x:c r="E19" s="43" t="str"/>
      <x:c r="F19" s="42" t="str">
        <x:v>Active</x:v>
      </x:c>
      <x:c r="G19" s="40" t="n">
        <x:v>20000</x:v>
      </x:c>
      <x:c r="H19" s="40" t="n">
        <x:f>IF(G19="","",G19/(Setup!$B$5*Setup!$B$4))</x:f>
        <x:v>96.15384615384616</x:v>
      </x:c>
      <x:c r="I19" s="40" t="n">
        <x:f>IF(H19="","",H19*Setup!$B$6)</x:f>
        <x:v>144.23076923076923</x:v>
      </x:c>
      <x:c r="J19" s="42" t="str"/>
      <x:c r="K19" s="42" t="str"/>
      <x:c r="L19" s="31"/>
      <x:c r="M19" s="31"/>
      <x:c r="N19" s="31"/>
      <x:c r="O19" s="31"/>
    </x:row>
    <x:row r="20">
      <x:c r="A20" s="42" t="str">
        <x:v>EMP017</x:v>
      </x:c>
      <x:c r="B20" s="42" t="str">
        <x:v>Staff 17</x:v>
      </x:c>
      <x:c r="C20" s="42" t="str"/>
      <x:c r="D20" s="42" t="str"/>
      <x:c r="E20" s="43" t="str"/>
      <x:c r="F20" s="42" t="str">
        <x:v>Active</x:v>
      </x:c>
      <x:c r="G20" s="40" t="n">
        <x:v>20000</x:v>
      </x:c>
      <x:c r="H20" s="40" t="n">
        <x:f>IF(G20="","",G20/(Setup!$B$5*Setup!$B$4))</x:f>
        <x:v>96.15384615384616</x:v>
      </x:c>
      <x:c r="I20" s="40" t="n">
        <x:f>IF(H20="","",H20*Setup!$B$6)</x:f>
        <x:v>144.23076923076923</x:v>
      </x:c>
      <x:c r="J20" s="42" t="str"/>
      <x:c r="K20" s="42" t="str"/>
      <x:c r="L20" s="31"/>
      <x:c r="M20" s="31"/>
      <x:c r="N20" s="31"/>
      <x:c r="O20" s="31"/>
    </x:row>
    <x:row r="21">
      <x:c r="A21" s="42" t="str">
        <x:v>EMP018</x:v>
      </x:c>
      <x:c r="B21" s="42" t="str">
        <x:v>Staff 18</x:v>
      </x:c>
      <x:c r="C21" s="42" t="str"/>
      <x:c r="D21" s="42" t="str"/>
      <x:c r="E21" s="43" t="str"/>
      <x:c r="F21" s="42" t="str">
        <x:v>Active</x:v>
      </x:c>
      <x:c r="G21" s="40" t="n">
        <x:v>20000</x:v>
      </x:c>
      <x:c r="H21" s="40" t="n">
        <x:f>IF(G21="","",G21/(Setup!$B$5*Setup!$B$4))</x:f>
        <x:v>96.15384615384616</x:v>
      </x:c>
      <x:c r="I21" s="40" t="n">
        <x:f>IF(H21="","",H21*Setup!$B$6)</x:f>
        <x:v>144.23076923076923</x:v>
      </x:c>
      <x:c r="J21" s="42" t="str"/>
      <x:c r="K21" s="42" t="str"/>
      <x:c r="L21" s="31"/>
      <x:c r="M21" s="31"/>
      <x:c r="N21" s="31"/>
      <x:c r="O21" s="31"/>
    </x:row>
    <x:row r="22">
      <x:c r="A22" s="42" t="str">
        <x:v>EMP019</x:v>
      </x:c>
      <x:c r="B22" s="42" t="str">
        <x:v>Staff 19</x:v>
      </x:c>
      <x:c r="C22" s="42" t="str"/>
      <x:c r="D22" s="42" t="str"/>
      <x:c r="E22" s="43" t="str"/>
      <x:c r="F22" s="42" t="str">
        <x:v>Active</x:v>
      </x:c>
      <x:c r="G22" s="40" t="n">
        <x:v>20000</x:v>
      </x:c>
      <x:c r="H22" s="40" t="n">
        <x:f>IF(G22="","",G22/(Setup!$B$5*Setup!$B$4))</x:f>
        <x:v>96.15384615384616</x:v>
      </x:c>
      <x:c r="I22" s="40" t="n">
        <x:f>IF(H22="","",H22*Setup!$B$6)</x:f>
        <x:v>144.23076923076923</x:v>
      </x:c>
      <x:c r="J22" s="42" t="str"/>
      <x:c r="K22" s="42" t="str"/>
      <x:c r="L22" s="31"/>
      <x:c r="M22" s="31"/>
      <x:c r="N22" s="31"/>
      <x:c r="O22" s="31"/>
    </x:row>
    <x:row r="23">
      <x:c r="A23" s="42" t="str">
        <x:v>EMP020</x:v>
      </x:c>
      <x:c r="B23" s="42" t="str">
        <x:v>Staff 20</x:v>
      </x:c>
      <x:c r="C23" s="42" t="str"/>
      <x:c r="D23" s="42" t="str"/>
      <x:c r="E23" s="43" t="str"/>
      <x:c r="F23" s="42" t="str">
        <x:v>Active</x:v>
      </x:c>
      <x:c r="G23" s="40" t="n">
        <x:v>20000</x:v>
      </x:c>
      <x:c r="H23" s="40" t="n">
        <x:f>IF(G23="","",G23/(Setup!$B$5*Setup!$B$4))</x:f>
        <x:v>96.15384615384616</x:v>
      </x:c>
      <x:c r="I23" s="40" t="n">
        <x:f>IF(H23="","",H23*Setup!$B$6)</x:f>
        <x:v>144.23076923076923</x:v>
      </x:c>
      <x:c r="J23" s="42" t="str"/>
      <x:c r="K23" s="42" t="str"/>
      <x:c r="L23" s="31"/>
      <x:c r="M23" s="31"/>
      <x:c r="N23" s="31"/>
      <x:c r="O23" s="31"/>
    </x:row>
    <x:row r="24">
      <x:c r="A24" s="42" t="str">
        <x:v>EMP021</x:v>
      </x:c>
      <x:c r="B24" s="42" t="str">
        <x:v>Staff 21</x:v>
      </x:c>
      <x:c r="C24" s="42" t="str"/>
      <x:c r="D24" s="42" t="str"/>
      <x:c r="E24" s="43" t="str"/>
      <x:c r="F24" s="42" t="str">
        <x:v>Active</x:v>
      </x:c>
      <x:c r="G24" s="40" t="n">
        <x:v>20000</x:v>
      </x:c>
      <x:c r="H24" s="40" t="n">
        <x:f>IF(G24="","",G24/(Setup!$B$5*Setup!$B$4))</x:f>
        <x:v>96.15384615384616</x:v>
      </x:c>
      <x:c r="I24" s="40" t="n">
        <x:f>IF(H24="","",H24*Setup!$B$6)</x:f>
        <x:v>144.23076923076923</x:v>
      </x:c>
      <x:c r="J24" s="42" t="str"/>
      <x:c r="K24" s="42" t="str"/>
      <x:c r="L24" s="31"/>
      <x:c r="M24" s="31"/>
      <x:c r="N24" s="31"/>
      <x:c r="O24" s="31"/>
    </x:row>
    <x:row r="25">
      <x:c r="A25" s="42" t="str">
        <x:v>EMP022</x:v>
      </x:c>
      <x:c r="B25" s="42" t="str">
        <x:v>Staff 22</x:v>
      </x:c>
      <x:c r="C25" s="42" t="str"/>
      <x:c r="D25" s="42" t="str"/>
      <x:c r="E25" s="43" t="str"/>
      <x:c r="F25" s="42" t="str">
        <x:v>Active</x:v>
      </x:c>
      <x:c r="G25" s="40" t="n">
        <x:v>20000</x:v>
      </x:c>
      <x:c r="H25" s="40" t="n">
        <x:f>IF(G25="","",G25/(Setup!$B$5*Setup!$B$4))</x:f>
        <x:v>96.15384615384616</x:v>
      </x:c>
      <x:c r="I25" s="40" t="n">
        <x:f>IF(H25="","",H25*Setup!$B$6)</x:f>
        <x:v>144.23076923076923</x:v>
      </x:c>
      <x:c r="J25" s="42" t="str"/>
      <x:c r="K25" s="42" t="str"/>
      <x:c r="L25" s="31"/>
      <x:c r="M25" s="31"/>
      <x:c r="N25" s="31"/>
      <x:c r="O25" s="31"/>
    </x:row>
    <x:row r="26">
      <x:c r="A26" s="42" t="str">
        <x:v>EMP023</x:v>
      </x:c>
      <x:c r="B26" s="42" t="str">
        <x:v>Staff 23</x:v>
      </x:c>
      <x:c r="C26" s="42" t="str"/>
      <x:c r="D26" s="42" t="str"/>
      <x:c r="E26" s="43" t="str"/>
      <x:c r="F26" s="42" t="str">
        <x:v>Active</x:v>
      </x:c>
      <x:c r="G26" s="40" t="n">
        <x:v>20000</x:v>
      </x:c>
      <x:c r="H26" s="40" t="n">
        <x:f>IF(G26="","",G26/(Setup!$B$5*Setup!$B$4))</x:f>
        <x:v>96.15384615384616</x:v>
      </x:c>
      <x:c r="I26" s="40" t="n">
        <x:f>IF(H26="","",H26*Setup!$B$6)</x:f>
        <x:v>144.23076923076923</x:v>
      </x:c>
      <x:c r="J26" s="42" t="str"/>
      <x:c r="K26" s="42" t="str"/>
      <x:c r="L26" s="31"/>
      <x:c r="M26" s="31"/>
      <x:c r="N26" s="31"/>
      <x:c r="O26" s="31"/>
    </x:row>
    <x:row r="27">
      <x:c r="A27" s="42" t="str">
        <x:v>EMP024</x:v>
      </x:c>
      <x:c r="B27" s="42" t="str">
        <x:v>Staff 24</x:v>
      </x:c>
      <x:c r="C27" s="42" t="str"/>
      <x:c r="D27" s="42" t="str"/>
      <x:c r="E27" s="43" t="str"/>
      <x:c r="F27" s="42" t="str">
        <x:v>Active</x:v>
      </x:c>
      <x:c r="G27" s="40" t="n">
        <x:v>20000</x:v>
      </x:c>
      <x:c r="H27" s="40" t="n">
        <x:f>IF(G27="","",G27/(Setup!$B$5*Setup!$B$4))</x:f>
        <x:v>96.15384615384616</x:v>
      </x:c>
      <x:c r="I27" s="40" t="n">
        <x:f>IF(H27="","",H27*Setup!$B$6)</x:f>
        <x:v>144.23076923076923</x:v>
      </x:c>
      <x:c r="J27" s="42" t="str"/>
      <x:c r="K27" s="42" t="str"/>
      <x:c r="L27" s="31"/>
      <x:c r="M27" s="31"/>
      <x:c r="N27" s="31"/>
      <x:c r="O27" s="31"/>
    </x:row>
    <x:row r="28">
      <x:c r="A28" s="42" t="str">
        <x:v>EMP025</x:v>
      </x:c>
      <x:c r="B28" s="42" t="str">
        <x:v>Staff 25</x:v>
      </x:c>
      <x:c r="C28" s="42" t="str"/>
      <x:c r="D28" s="42" t="str"/>
      <x:c r="E28" s="43" t="str"/>
      <x:c r="F28" s="42" t="str">
        <x:v>Active</x:v>
      </x:c>
      <x:c r="G28" s="40" t="n">
        <x:v>20000</x:v>
      </x:c>
      <x:c r="H28" s="40" t="n">
        <x:f>IF(G28="","",G28/(Setup!$B$5*Setup!$B$4))</x:f>
        <x:v>96.15384615384616</x:v>
      </x:c>
      <x:c r="I28" s="40" t="n">
        <x:f>IF(H28="","",H28*Setup!$B$6)</x:f>
        <x:v>144.23076923076923</x:v>
      </x:c>
      <x:c r="J28" s="42" t="str"/>
      <x:c r="K28" s="42" t="str"/>
      <x:c r="L28" s="31"/>
      <x:c r="M28" s="31"/>
      <x:c r="N28" s="31"/>
      <x:c r="O28" s="31"/>
    </x:row>
    <x:row r="29">
      <x:c r="A29" s="42" t="str">
        <x:v>EMP026</x:v>
      </x:c>
      <x:c r="B29" s="42" t="str"/>
      <x:c r="C29" s="42" t="str"/>
      <x:c r="D29" s="42" t="str"/>
      <x:c r="E29" s="43" t="str"/>
      <x:c r="F29" s="42" t="str"/>
      <x:c r="G29" s="40" t="str"/>
      <x:c r="H29" s="40" t="str">
        <x:f>IF(G29="","",G29/(Setup!$B$5*Setup!$B$4))</x:f>
      </x:c>
      <x:c r="I29" s="40" t="str">
        <x:f>IF(H29="","",H29*Setup!$B$6)</x:f>
      </x:c>
      <x:c r="J29" s="42" t="str"/>
      <x:c r="K29" s="42" t="str"/>
      <x:c r="L29" s="31"/>
      <x:c r="M29" s="31"/>
      <x:c r="N29" s="31"/>
      <x:c r="O29" s="31"/>
    </x:row>
    <x:row r="30">
      <x:c r="A30" s="42" t="str">
        <x:v>EMP027</x:v>
      </x:c>
      <x:c r="B30" s="42" t="str"/>
      <x:c r="C30" s="42" t="str"/>
      <x:c r="D30" s="42" t="str"/>
      <x:c r="E30" s="43" t="str"/>
      <x:c r="F30" s="42" t="str"/>
      <x:c r="G30" s="40" t="str"/>
      <x:c r="H30" s="40" t="str">
        <x:f>IF(G30="","",G30/(Setup!$B$5*Setup!$B$4))</x:f>
      </x:c>
      <x:c r="I30" s="40" t="str">
        <x:f>IF(H30="","",H30*Setup!$B$6)</x:f>
      </x:c>
      <x:c r="J30" s="42" t="str"/>
      <x:c r="K30" s="42" t="str"/>
      <x:c r="L30" s="31"/>
      <x:c r="M30" s="31"/>
      <x:c r="N30" s="31"/>
      <x:c r="O30" s="31"/>
    </x:row>
    <x:row r="31">
      <x:c r="A31" s="42" t="str">
        <x:v>EMP028</x:v>
      </x:c>
      <x:c r="B31" s="42" t="str"/>
      <x:c r="C31" s="42" t="str"/>
      <x:c r="D31" s="42" t="str"/>
      <x:c r="E31" s="43" t="str"/>
      <x:c r="F31" s="42" t="str"/>
      <x:c r="G31" s="40" t="str"/>
      <x:c r="H31" s="40" t="str">
        <x:f>IF(G31="","",G31/(Setup!$B$5*Setup!$B$4))</x:f>
      </x:c>
      <x:c r="I31" s="40" t="str">
        <x:f>IF(H31="","",H31*Setup!$B$6)</x:f>
      </x:c>
      <x:c r="J31" s="42" t="str"/>
      <x:c r="K31" s="42" t="str"/>
      <x:c r="L31" s="31"/>
      <x:c r="M31" s="31"/>
      <x:c r="N31" s="31"/>
      <x:c r="O31" s="31"/>
    </x:row>
    <x:row r="32">
      <x:c r="A32" s="42" t="str">
        <x:v>EMP029</x:v>
      </x:c>
      <x:c r="B32" s="42" t="str"/>
      <x:c r="C32" s="42" t="str"/>
      <x:c r="D32" s="42" t="str"/>
      <x:c r="E32" s="43" t="str"/>
      <x:c r="F32" s="42" t="str"/>
      <x:c r="G32" s="40" t="str"/>
      <x:c r="H32" s="40" t="str">
        <x:f>IF(G32="","",G32/(Setup!$B$5*Setup!$B$4))</x:f>
      </x:c>
      <x:c r="I32" s="40" t="str">
        <x:f>IF(H32="","",H32*Setup!$B$6)</x:f>
      </x:c>
      <x:c r="J32" s="42" t="str"/>
      <x:c r="K32" s="42" t="str"/>
      <x:c r="L32" s="31"/>
      <x:c r="M32" s="31"/>
      <x:c r="N32" s="31"/>
      <x:c r="O32" s="31"/>
    </x:row>
    <x:row r="33">
      <x:c r="A33" s="42" t="str">
        <x:v>EMP030</x:v>
      </x:c>
      <x:c r="B33" s="42" t="str"/>
      <x:c r="C33" s="42" t="str"/>
      <x:c r="D33" s="42" t="str"/>
      <x:c r="E33" s="43" t="str"/>
      <x:c r="F33" s="42" t="str"/>
      <x:c r="G33" s="40" t="str"/>
      <x:c r="H33" s="40" t="str">
        <x:f>IF(G33="","",G33/(Setup!$B$5*Setup!$B$4))</x:f>
      </x:c>
      <x:c r="I33" s="40" t="str">
        <x:f>IF(H33="","",H33*Setup!$B$6)</x:f>
      </x:c>
      <x:c r="J33" s="42" t="str"/>
      <x:c r="K33" s="42" t="str"/>
      <x:c r="L33" s="31"/>
      <x:c r="M33" s="31"/>
      <x:c r="N33" s="31"/>
      <x:c r="O33" s="31"/>
    </x:row>
    <x:row r="34">
      <x:c r="A34" s="42" t="str">
        <x:v>EMP031</x:v>
      </x:c>
      <x:c r="B34" s="42" t="str"/>
      <x:c r="C34" s="42" t="str"/>
      <x:c r="D34" s="42" t="str"/>
      <x:c r="E34" s="43" t="str"/>
      <x:c r="F34" s="42" t="str"/>
      <x:c r="G34" s="40" t="str"/>
      <x:c r="H34" s="40" t="str">
        <x:f>IF(G34="","",G34/(Setup!$B$5*Setup!$B$4))</x:f>
      </x:c>
      <x:c r="I34" s="40" t="str">
        <x:f>IF(H34="","",H34*Setup!$B$6)</x:f>
      </x:c>
      <x:c r="J34" s="42" t="str"/>
      <x:c r="K34" s="42" t="str"/>
      <x:c r="L34" s="31"/>
      <x:c r="M34" s="31"/>
      <x:c r="N34" s="31"/>
      <x:c r="O34" s="31"/>
    </x:row>
    <x:row r="35">
      <x:c r="A35" s="42" t="str">
        <x:v>EMP032</x:v>
      </x:c>
      <x:c r="B35" s="42" t="str"/>
      <x:c r="C35" s="42" t="str"/>
      <x:c r="D35" s="42" t="str"/>
      <x:c r="E35" s="43" t="str"/>
      <x:c r="F35" s="42" t="str"/>
      <x:c r="G35" s="40" t="str"/>
      <x:c r="H35" s="40" t="str">
        <x:f>IF(G35="","",G35/(Setup!$B$5*Setup!$B$4))</x:f>
      </x:c>
      <x:c r="I35" s="40" t="str">
        <x:f>IF(H35="","",H35*Setup!$B$6)</x:f>
      </x:c>
      <x:c r="J35" s="42" t="str"/>
      <x:c r="K35" s="42" t="str"/>
      <x:c r="L35" s="31"/>
      <x:c r="M35" s="31"/>
      <x:c r="N35" s="31"/>
      <x:c r="O35" s="31"/>
    </x:row>
    <x:row r="36">
      <x:c r="A36" s="42" t="str">
        <x:v>EMP033</x:v>
      </x:c>
      <x:c r="B36" s="42" t="str"/>
      <x:c r="C36" s="42" t="str"/>
      <x:c r="D36" s="42" t="str"/>
      <x:c r="E36" s="43" t="str"/>
      <x:c r="F36" s="42" t="str"/>
      <x:c r="G36" s="40" t="str"/>
      <x:c r="H36" s="40" t="str">
        <x:f>IF(G36="","",G36/(Setup!$B$5*Setup!$B$4))</x:f>
      </x:c>
      <x:c r="I36" s="40" t="str">
        <x:f>IF(H36="","",H36*Setup!$B$6)</x:f>
      </x:c>
      <x:c r="J36" s="42" t="str"/>
      <x:c r="K36" s="42" t="str"/>
      <x:c r="L36" s="31"/>
      <x:c r="M36" s="31"/>
      <x:c r="N36" s="31"/>
      <x:c r="O36" s="31"/>
    </x:row>
    <x:row r="37">
      <x:c r="A37" s="42" t="str">
        <x:v>EMP034</x:v>
      </x:c>
      <x:c r="B37" s="42" t="str"/>
      <x:c r="C37" s="42" t="str"/>
      <x:c r="D37" s="42" t="str"/>
      <x:c r="E37" s="43" t="str"/>
      <x:c r="F37" s="42" t="str"/>
      <x:c r="G37" s="40" t="str"/>
      <x:c r="H37" s="40" t="str">
        <x:f>IF(G37="","",G37/(Setup!$B$5*Setup!$B$4))</x:f>
      </x:c>
      <x:c r="I37" s="40" t="str">
        <x:f>IF(H37="","",H37*Setup!$B$6)</x:f>
      </x:c>
      <x:c r="J37" s="42" t="str"/>
      <x:c r="K37" s="42" t="str"/>
      <x:c r="L37" s="31"/>
      <x:c r="M37" s="31"/>
      <x:c r="N37" s="31"/>
      <x:c r="O37" s="31"/>
    </x:row>
    <x:row r="38">
      <x:c r="A38" s="42" t="str">
        <x:v>EMP035</x:v>
      </x:c>
      <x:c r="B38" s="42" t="str"/>
      <x:c r="C38" s="42" t="str"/>
      <x:c r="D38" s="42" t="str"/>
      <x:c r="E38" s="43" t="str"/>
      <x:c r="F38" s="42" t="str"/>
      <x:c r="G38" s="40" t="str"/>
      <x:c r="H38" s="40" t="str">
        <x:f>IF(G38="","",G38/(Setup!$B$5*Setup!$B$4))</x:f>
      </x:c>
      <x:c r="I38" s="40" t="str">
        <x:f>IF(H38="","",H38*Setup!$B$6)</x:f>
      </x:c>
      <x:c r="J38" s="42" t="str"/>
      <x:c r="K38" s="42" t="str"/>
      <x:c r="L38" s="31"/>
      <x:c r="M38" s="31"/>
      <x:c r="N38" s="31"/>
      <x:c r="O38" s="31"/>
    </x:row>
    <x:row r="39">
      <x:c r="A39" s="42" t="str">
        <x:v>EMP036</x:v>
      </x:c>
      <x:c r="B39" s="42" t="str"/>
      <x:c r="C39" s="42" t="str"/>
      <x:c r="D39" s="42" t="str"/>
      <x:c r="E39" s="43" t="str"/>
      <x:c r="F39" s="42" t="str"/>
      <x:c r="G39" s="40" t="str"/>
      <x:c r="H39" s="40" t="str">
        <x:f>IF(G39="","",G39/(Setup!$B$5*Setup!$B$4))</x:f>
      </x:c>
      <x:c r="I39" s="40" t="str">
        <x:f>IF(H39="","",H39*Setup!$B$6)</x:f>
      </x:c>
      <x:c r="J39" s="42" t="str"/>
      <x:c r="K39" s="42" t="str"/>
      <x:c r="L39" s="31"/>
      <x:c r="M39" s="31"/>
      <x:c r="N39" s="31"/>
      <x:c r="O39" s="31"/>
    </x:row>
    <x:row r="40">
      <x:c r="A40" s="42" t="str">
        <x:v>EMP037</x:v>
      </x:c>
      <x:c r="B40" s="42" t="str"/>
      <x:c r="C40" s="42" t="str"/>
      <x:c r="D40" s="42" t="str"/>
      <x:c r="E40" s="43" t="str"/>
      <x:c r="F40" s="42" t="str"/>
      <x:c r="G40" s="40" t="str"/>
      <x:c r="H40" s="40" t="str">
        <x:f>IF(G40="","",G40/(Setup!$B$5*Setup!$B$4))</x:f>
      </x:c>
      <x:c r="I40" s="40" t="str">
        <x:f>IF(H40="","",H40*Setup!$B$6)</x:f>
      </x:c>
      <x:c r="J40" s="42" t="str"/>
      <x:c r="K40" s="42" t="str"/>
      <x:c r="L40" s="31"/>
      <x:c r="M40" s="31"/>
      <x:c r="N40" s="31"/>
      <x:c r="O40" s="31"/>
    </x:row>
    <x:row r="41">
      <x:c r="A41" s="42" t="str">
        <x:v>EMP038</x:v>
      </x:c>
      <x:c r="B41" s="42" t="str"/>
      <x:c r="C41" s="42" t="str"/>
      <x:c r="D41" s="42" t="str"/>
      <x:c r="E41" s="43" t="str"/>
      <x:c r="F41" s="42" t="str"/>
      <x:c r="G41" s="40" t="str"/>
      <x:c r="H41" s="40" t="str">
        <x:f>IF(G41="","",G41/(Setup!$B$5*Setup!$B$4))</x:f>
      </x:c>
      <x:c r="I41" s="40" t="str">
        <x:f>IF(H41="","",H41*Setup!$B$6)</x:f>
      </x:c>
      <x:c r="J41" s="42" t="str"/>
      <x:c r="K41" s="42" t="str"/>
      <x:c r="L41" s="31"/>
      <x:c r="M41" s="31"/>
      <x:c r="N41" s="31"/>
      <x:c r="O41" s="31"/>
    </x:row>
    <x:row r="42">
      <x:c r="A42" s="42" t="str">
        <x:v>EMP039</x:v>
      </x:c>
      <x:c r="B42" s="42" t="str"/>
      <x:c r="C42" s="42" t="str"/>
      <x:c r="D42" s="42" t="str"/>
      <x:c r="E42" s="43" t="str"/>
      <x:c r="F42" s="42" t="str"/>
      <x:c r="G42" s="40" t="str"/>
      <x:c r="H42" s="40" t="str">
        <x:f>IF(G42="","",G42/(Setup!$B$5*Setup!$B$4))</x:f>
      </x:c>
      <x:c r="I42" s="40" t="str">
        <x:f>IF(H42="","",H42*Setup!$B$6)</x:f>
      </x:c>
      <x:c r="J42" s="42" t="str"/>
      <x:c r="K42" s="42" t="str"/>
      <x:c r="L42" s="31"/>
      <x:c r="M42" s="31"/>
      <x:c r="N42" s="31"/>
      <x:c r="O42" s="31"/>
    </x:row>
    <x:row r="43">
      <x:c r="A43" s="42" t="str">
        <x:v>EMP040</x:v>
      </x:c>
      <x:c r="B43" s="42" t="str"/>
      <x:c r="C43" s="42" t="str"/>
      <x:c r="D43" s="42" t="str"/>
      <x:c r="E43" s="43" t="str"/>
      <x:c r="F43" s="42" t="str"/>
      <x:c r="G43" s="40" t="str"/>
      <x:c r="H43" s="40" t="str">
        <x:f>IF(G43="","",G43/(Setup!$B$5*Setup!$B$4))</x:f>
      </x:c>
      <x:c r="I43" s="40" t="str">
        <x:f>IF(H43="","",H43*Setup!$B$6)</x:f>
      </x:c>
      <x:c r="J43" s="42" t="str"/>
      <x:c r="K43" s="42" t="str"/>
      <x:c r="L43" s="31"/>
      <x:c r="M43" s="31"/>
      <x:c r="N43" s="31"/>
      <x:c r="O43" s="31"/>
    </x:row>
    <x:row r="44">
      <x:c r="A44" s="42" t="str">
        <x:v>EMP041</x:v>
      </x:c>
      <x:c r="B44" s="42" t="str"/>
      <x:c r="C44" s="42" t="str"/>
      <x:c r="D44" s="42" t="str"/>
      <x:c r="E44" s="43" t="str"/>
      <x:c r="F44" s="42" t="str"/>
      <x:c r="G44" s="40" t="str"/>
      <x:c r="H44" s="40" t="str">
        <x:f>IF(G44="","",G44/(Setup!$B$5*Setup!$B$4))</x:f>
      </x:c>
      <x:c r="I44" s="40" t="str">
        <x:f>IF(H44="","",H44*Setup!$B$6)</x:f>
      </x:c>
      <x:c r="J44" s="42" t="str"/>
      <x:c r="K44" s="42" t="str"/>
      <x:c r="L44" s="31"/>
      <x:c r="M44" s="31"/>
      <x:c r="N44" s="31"/>
      <x:c r="O44" s="31"/>
    </x:row>
    <x:row r="45">
      <x:c r="A45" s="42" t="str">
        <x:v>EMP042</x:v>
      </x:c>
      <x:c r="B45" s="42" t="str"/>
      <x:c r="C45" s="42" t="str"/>
      <x:c r="D45" s="42" t="str"/>
      <x:c r="E45" s="43" t="str"/>
      <x:c r="F45" s="42" t="str"/>
      <x:c r="G45" s="40" t="str"/>
      <x:c r="H45" s="40" t="str">
        <x:f>IF(G45="","",G45/(Setup!$B$5*Setup!$B$4))</x:f>
      </x:c>
      <x:c r="I45" s="40" t="str">
        <x:f>IF(H45="","",H45*Setup!$B$6)</x:f>
      </x:c>
      <x:c r="J45" s="42" t="str"/>
      <x:c r="K45" s="42" t="str"/>
      <x:c r="L45" s="31"/>
      <x:c r="M45" s="31"/>
      <x:c r="N45" s="31"/>
      <x:c r="O45" s="31"/>
    </x:row>
    <x:row r="46">
      <x:c r="A46" s="42" t="str">
        <x:v>EMP043</x:v>
      </x:c>
      <x:c r="B46" s="42" t="str"/>
      <x:c r="C46" s="42" t="str"/>
      <x:c r="D46" s="42" t="str"/>
      <x:c r="E46" s="43" t="str"/>
      <x:c r="F46" s="42" t="str"/>
      <x:c r="G46" s="40" t="str"/>
      <x:c r="H46" s="40" t="str">
        <x:f>IF(G46="","",G46/(Setup!$B$5*Setup!$B$4))</x:f>
      </x:c>
      <x:c r="I46" s="40" t="str">
        <x:f>IF(H46="","",H46*Setup!$B$6)</x:f>
      </x:c>
      <x:c r="J46" s="42" t="str"/>
      <x:c r="K46" s="42" t="str"/>
      <x:c r="L46" s="31"/>
      <x:c r="M46" s="31"/>
      <x:c r="N46" s="31"/>
      <x:c r="O46" s="31"/>
    </x:row>
    <x:row r="47">
      <x:c r="A47" s="42" t="str">
        <x:v>EMP044</x:v>
      </x:c>
      <x:c r="B47" s="42" t="str"/>
      <x:c r="C47" s="42" t="str"/>
      <x:c r="D47" s="42" t="str"/>
      <x:c r="E47" s="43" t="str"/>
      <x:c r="F47" s="42" t="str"/>
      <x:c r="G47" s="40" t="str"/>
      <x:c r="H47" s="40" t="str">
        <x:f>IF(G47="","",G47/(Setup!$B$5*Setup!$B$4))</x:f>
      </x:c>
      <x:c r="I47" s="40" t="str">
        <x:f>IF(H47="","",H47*Setup!$B$6)</x:f>
      </x:c>
      <x:c r="J47" s="42" t="str"/>
      <x:c r="K47" s="42" t="str"/>
      <x:c r="L47" s="31"/>
      <x:c r="M47" s="31"/>
      <x:c r="N47" s="31"/>
      <x:c r="O47" s="31"/>
    </x:row>
    <x:row r="48">
      <x:c r="A48" s="42" t="str">
        <x:v>EMP045</x:v>
      </x:c>
      <x:c r="B48" s="42" t="str"/>
      <x:c r="C48" s="42" t="str"/>
      <x:c r="D48" s="42" t="str"/>
      <x:c r="E48" s="43" t="str"/>
      <x:c r="F48" s="42" t="str"/>
      <x:c r="G48" s="40" t="str"/>
      <x:c r="H48" s="40" t="str">
        <x:f>IF(G48="","",G48/(Setup!$B$5*Setup!$B$4))</x:f>
      </x:c>
      <x:c r="I48" s="40" t="str">
        <x:f>IF(H48="","",H48*Setup!$B$6)</x:f>
      </x:c>
      <x:c r="J48" s="42" t="str"/>
      <x:c r="K48" s="42" t="str"/>
      <x:c r="L48" s="31"/>
      <x:c r="M48" s="31"/>
      <x:c r="N48" s="31"/>
      <x:c r="O48" s="31"/>
    </x:row>
    <x:row r="49">
      <x:c r="A49" s="42" t="str">
        <x:v>EMP046</x:v>
      </x:c>
      <x:c r="B49" s="42" t="str"/>
      <x:c r="C49" s="42" t="str"/>
      <x:c r="D49" s="42" t="str"/>
      <x:c r="E49" s="43" t="str"/>
      <x:c r="F49" s="42" t="str"/>
      <x:c r="G49" s="40" t="str"/>
      <x:c r="H49" s="40" t="str">
        <x:f>IF(G49="","",G49/(Setup!$B$5*Setup!$B$4))</x:f>
      </x:c>
      <x:c r="I49" s="40" t="str">
        <x:f>IF(H49="","",H49*Setup!$B$6)</x:f>
      </x:c>
      <x:c r="J49" s="42" t="str"/>
      <x:c r="K49" s="42" t="str"/>
      <x:c r="L49" s="31"/>
      <x:c r="M49" s="31"/>
      <x:c r="N49" s="31"/>
      <x:c r="O49" s="31"/>
    </x:row>
    <x:row r="50">
      <x:c r="A50" s="42" t="str">
        <x:v>EMP047</x:v>
      </x:c>
      <x:c r="B50" s="42" t="str"/>
      <x:c r="C50" s="42" t="str"/>
      <x:c r="D50" s="42" t="str"/>
      <x:c r="E50" s="43" t="str"/>
      <x:c r="F50" s="42" t="str"/>
      <x:c r="G50" s="40" t="str"/>
      <x:c r="H50" s="40" t="str">
        <x:f>IF(G50="","",G50/(Setup!$B$5*Setup!$B$4))</x:f>
      </x:c>
      <x:c r="I50" s="40" t="str">
        <x:f>IF(H50="","",H50*Setup!$B$6)</x:f>
      </x:c>
      <x:c r="J50" s="42" t="str"/>
      <x:c r="K50" s="42" t="str"/>
      <x:c r="L50" s="31"/>
      <x:c r="M50" s="31"/>
      <x:c r="N50" s="31"/>
      <x:c r="O50" s="31"/>
    </x:row>
    <x:row r="51">
      <x:c r="A51" s="42" t="str">
        <x:v>EMP048</x:v>
      </x:c>
      <x:c r="B51" s="42" t="str"/>
      <x:c r="C51" s="42" t="str"/>
      <x:c r="D51" s="42" t="str"/>
      <x:c r="E51" s="43" t="str"/>
      <x:c r="F51" s="42" t="str"/>
      <x:c r="G51" s="40" t="str"/>
      <x:c r="H51" s="40" t="str">
        <x:f>IF(G51="","",G51/(Setup!$B$5*Setup!$B$4))</x:f>
      </x:c>
      <x:c r="I51" s="40" t="str">
        <x:f>IF(H51="","",H51*Setup!$B$6)</x:f>
      </x:c>
      <x:c r="J51" s="42" t="str"/>
      <x:c r="K51" s="42" t="str"/>
      <x:c r="L51" s="31"/>
      <x:c r="M51" s="31"/>
      <x:c r="N51" s="31"/>
      <x:c r="O51" s="31"/>
    </x:row>
    <x:row r="52">
      <x:c r="A52" s="42" t="str">
        <x:v>EMP049</x:v>
      </x:c>
      <x:c r="B52" s="42" t="str"/>
      <x:c r="C52" s="42" t="str"/>
      <x:c r="D52" s="42" t="str"/>
      <x:c r="E52" s="43" t="str"/>
      <x:c r="F52" s="42" t="str"/>
      <x:c r="G52" s="40" t="str"/>
      <x:c r="H52" s="40" t="str">
        <x:f>IF(G52="","",G52/(Setup!$B$5*Setup!$B$4))</x:f>
      </x:c>
      <x:c r="I52" s="40" t="str">
        <x:f>IF(H52="","",H52*Setup!$B$6)</x:f>
      </x:c>
      <x:c r="J52" s="42" t="str"/>
      <x:c r="K52" s="42" t="str"/>
      <x:c r="L52" s="31"/>
      <x:c r="M52" s="31"/>
      <x:c r="N52" s="31"/>
      <x:c r="O52" s="31"/>
    </x:row>
    <x:row r="53">
      <x:c r="A53" s="42" t="str">
        <x:v>EMP050</x:v>
      </x:c>
      <x:c r="B53" s="42" t="str"/>
      <x:c r="C53" s="42" t="str"/>
      <x:c r="D53" s="42" t="str"/>
      <x:c r="E53" s="43" t="str"/>
      <x:c r="F53" s="42" t="str"/>
      <x:c r="G53" s="40" t="str"/>
      <x:c r="H53" s="40" t="str">
        <x:f>IF(G53="","",G53/(Setup!$B$5*Setup!$B$4))</x:f>
      </x:c>
      <x:c r="I53" s="40" t="str">
        <x:f>IF(H53="","",H53*Setup!$B$6)</x:f>
      </x:c>
      <x:c r="J53" s="42" t="str"/>
      <x:c r="K53" s="42" t="str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</x:sheetData>
  <x:mergeCells>
    <x:mergeCell ref="A1:K1"/>
  </x:mergeCells>
  <x:dataValidations count="1">
    <x:dataValidation type="list" allowBlank="1" showDropDown="0" sqref="F4:F53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9.819999694824219" hidden="0" customWidth="1"/>
    <x:col min="3" max="3" width="19.020000457763672" hidden="0" customWidth="1"/>
    <x:col min="4" max="4" width="14.109999656677246" hidden="0" customWidth="1"/>
    <x:col min="5" max="5" width="11.039999961853027" hidden="0" customWidth="1"/>
    <x:col min="6" max="6" width="12.880000114440918" hidden="0" customWidth="1"/>
    <x:col min="7" max="7" width="12.880000114440918" hidden="0" customWidth="1"/>
    <x:col min="8" max="8" width="14.109999656677246" hidden="0" customWidth="1"/>
    <x:col min="9" max="9" width="12.270000457763672" hidden="0" customWidth="1"/>
    <x:col min="10" max="10" width="22.700000762939453" hidden="0" customWidth="1"/>
    <x:col min="11" max="11" width="12.270000457763672" hidden="0" customWidth="1"/>
  </x:cols>
  <x:sheetData>
    <x:row r="1" ht="27" customHeight="1">
      <x:c r="A1" s="30" t="str">
        <x:v>Daily Attendance Entry</x:v>
      </x:c>
      <x:c r="B1" s="30" t="str">
        <x:v>Daily Attendance Entry</x:v>
      </x:c>
      <x:c r="C1" s="30" t="str">
        <x:v>Daily Attendance Entry</x:v>
      </x:c>
      <x:c r="D1" s="30" t="str">
        <x:v>Daily Attendance Entry</x:v>
      </x:c>
      <x:c r="E1" s="30" t="str">
        <x:v>Daily Attendance Entry</x:v>
      </x:c>
      <x:c r="F1" s="30" t="str">
        <x:v>Daily Attendance Entry</x:v>
      </x:c>
      <x:c r="G1" s="30" t="str">
        <x:v>Daily Attendance Entry</x:v>
      </x:c>
      <x:c r="H1" s="30" t="str">
        <x:v>Daily Attendance Entry</x:v>
      </x:c>
      <x:c r="I1" s="30" t="str">
        <x:v>Daily Attendance Entry</x:v>
      </x:c>
      <x:c r="J1" s="30" t="str">
        <x:v>Daily Attendance Entry</x:v>
      </x:c>
      <x:c r="K1" s="30" t="str">
        <x:v>Daily Attendance Entry</x:v>
      </x:c>
      <x:c r="L1" s="31"/>
      <x:c r="M1" s="31"/>
      <x:c r="N1" s="31"/>
      <x:c r="O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44" t="str">
        <x:v>Date</x:v>
      </x:c>
      <x:c r="B3" s="44" t="str">
        <x:v>Emp ID</x:v>
      </x:c>
      <x:c r="C3" s="44" t="str">
        <x:v>Employee Name</x:v>
      </x:c>
      <x:c r="D3" s="44" t="str">
        <x:v>Status</x:v>
      </x:c>
      <x:c r="E3" s="44" t="str">
        <x:v>Shift Hours</x:v>
      </x:c>
      <x:c r="F3" s="44" t="str">
        <x:v>Hours Worked</x:v>
      </x:c>
      <x:c r="G3" s="44" t="str">
        <x:v>Regular Hours</x:v>
      </x:c>
      <x:c r="H3" s="44" t="str">
        <x:v>Overtime Hours</x:v>
      </x:c>
      <x:c r="I3" s="44" t="str">
        <x:v>Late Minutes</x:v>
      </x:c>
      <x:c r="J3" s="44" t="str">
        <x:v>Remarks</x:v>
      </x:c>
      <x:c r="K3" s="44" t="str">
        <x:v>Month Key</x:v>
      </x:c>
      <x:c r="L3" s="31"/>
      <x:c r="M3" s="31"/>
      <x:c r="N3" s="31"/>
      <x:c r="O3" s="31"/>
    </x:row>
    <x:row r="4">
      <x:c r="A4" s="36"/>
      <x:c r="B4" s="34"/>
      <x:c r="C4" s="34" t="str">
        <x:f>IF(B4="","",XLOOKUP(B4,Employees!$A$4:$A$53,Employees!$B$4:$B$53,""))</x:f>
      </x:c>
      <x:c r="D4" s="34"/>
      <x:c r="E4" s="35" t="n">
        <x:v>8</x:v>
      </x:c>
      <x:c r="F4" s="35"/>
      <x:c r="G4" s="35" t="str">
        <x:f>IF(F4="","",MIN(F4,E4))</x:f>
      </x:c>
      <x:c r="H4" s="35" t="str">
        <x:f>IF(F4="","",MAX(0,F4-E4))</x:f>
      </x:c>
      <x:c r="I4" s="45"/>
      <x:c r="J4" s="34"/>
      <x:c r="K4" s="33" t="str">
        <x:f>IF(A4="","",DATE(YEAR(A4),MONTH(A4),1))</x:f>
      </x:c>
      <x:c r="L4" s="31"/>
      <x:c r="M4" s="31"/>
      <x:c r="N4" s="31"/>
      <x:c r="O4" s="31"/>
    </x:row>
    <x:row r="5">
      <x:c r="A5" s="36"/>
      <x:c r="B5" s="34"/>
      <x:c r="C5" s="34" t="str">
        <x:f>IF(B5="","",XLOOKUP(B5,Employees!$A$4:$A$53,Employees!$B$4:$B$53,""))</x:f>
      </x:c>
      <x:c r="D5" s="34"/>
      <x:c r="E5" s="35" t="n">
        <x:v>8</x:v>
      </x:c>
      <x:c r="F5" s="35"/>
      <x:c r="G5" s="35" t="str">
        <x:f>IF(F5="","",MIN(F5,E5))</x:f>
      </x:c>
      <x:c r="H5" s="35" t="str">
        <x:f>IF(F5="","",MAX(0,F5-E5))</x:f>
      </x:c>
      <x:c r="I5" s="45"/>
      <x:c r="J5" s="34"/>
      <x:c r="K5" s="33" t="str">
        <x:f>IF(A5="","",DATE(YEAR(A5),MONTH(A5),1))</x:f>
      </x:c>
      <x:c r="L5" s="31"/>
      <x:c r="M5" s="31"/>
      <x:c r="N5" s="31"/>
      <x:c r="O5" s="31"/>
    </x:row>
    <x:row r="6">
      <x:c r="A6" s="36"/>
      <x:c r="B6" s="34"/>
      <x:c r="C6" s="34" t="str">
        <x:f>IF(B6="","",XLOOKUP(B6,Employees!$A$4:$A$53,Employees!$B$4:$B$53,""))</x:f>
      </x:c>
      <x:c r="D6" s="34"/>
      <x:c r="E6" s="35" t="n">
        <x:v>8</x:v>
      </x:c>
      <x:c r="F6" s="35"/>
      <x:c r="G6" s="35" t="str">
        <x:f>IF(F6="","",MIN(F6,E6))</x:f>
      </x:c>
      <x:c r="H6" s="35" t="str">
        <x:f>IF(F6="","",MAX(0,F6-E6))</x:f>
      </x:c>
      <x:c r="I6" s="45"/>
      <x:c r="J6" s="34"/>
      <x:c r="K6" s="33" t="str">
        <x:f>IF(A6="","",DATE(YEAR(A6),MONTH(A6),1))</x:f>
      </x:c>
      <x:c r="L6" s="31"/>
      <x:c r="M6" s="31"/>
      <x:c r="N6" s="31"/>
      <x:c r="O6" s="31"/>
    </x:row>
    <x:row r="7">
      <x:c r="A7" s="36"/>
      <x:c r="B7" s="34"/>
      <x:c r="C7" s="34" t="str">
        <x:f>IF(B7="","",XLOOKUP(B7,Employees!$A$4:$A$53,Employees!$B$4:$B$53,""))</x:f>
      </x:c>
      <x:c r="D7" s="34"/>
      <x:c r="E7" s="35" t="n">
        <x:v>8</x:v>
      </x:c>
      <x:c r="F7" s="35"/>
      <x:c r="G7" s="35" t="str">
        <x:f>IF(F7="","",MIN(F7,E7))</x:f>
      </x:c>
      <x:c r="H7" s="35" t="str">
        <x:f>IF(F7="","",MAX(0,F7-E7))</x:f>
      </x:c>
      <x:c r="I7" s="45"/>
      <x:c r="J7" s="34"/>
      <x:c r="K7" s="33" t="str">
        <x:f>IF(A7="","",DATE(YEAR(A7),MONTH(A7),1))</x:f>
      </x:c>
      <x:c r="L7" s="31"/>
      <x:c r="M7" s="31"/>
      <x:c r="N7" s="31"/>
      <x:c r="O7" s="31"/>
    </x:row>
    <x:row r="8">
      <x:c r="A8" s="36"/>
      <x:c r="B8" s="34"/>
      <x:c r="C8" s="34" t="str">
        <x:f>IF(B8="","",XLOOKUP(B8,Employees!$A$4:$A$53,Employees!$B$4:$B$53,""))</x:f>
      </x:c>
      <x:c r="D8" s="34"/>
      <x:c r="E8" s="35" t="n">
        <x:v>8</x:v>
      </x:c>
      <x:c r="F8" s="35"/>
      <x:c r="G8" s="35" t="str">
        <x:f>IF(F8="","",MIN(F8,E8))</x:f>
      </x:c>
      <x:c r="H8" s="35" t="str">
        <x:f>IF(F8="","",MAX(0,F8-E8))</x:f>
      </x:c>
      <x:c r="I8" s="45"/>
      <x:c r="J8" s="34"/>
      <x:c r="K8" s="33" t="str">
        <x:f>IF(A8="","",DATE(YEAR(A8),MONTH(A8),1))</x:f>
      </x:c>
      <x:c r="L8" s="31"/>
      <x:c r="M8" s="31"/>
      <x:c r="N8" s="31"/>
      <x:c r="O8" s="31"/>
    </x:row>
    <x:row r="9">
      <x:c r="A9" s="36"/>
      <x:c r="B9" s="34"/>
      <x:c r="C9" s="34" t="str">
        <x:f>IF(B9="","",XLOOKUP(B9,Employees!$A$4:$A$53,Employees!$B$4:$B$53,""))</x:f>
      </x:c>
      <x:c r="D9" s="34"/>
      <x:c r="E9" s="35" t="n">
        <x:v>8</x:v>
      </x:c>
      <x:c r="F9" s="35"/>
      <x:c r="G9" s="35" t="str">
        <x:f>IF(F9="","",MIN(F9,E9))</x:f>
      </x:c>
      <x:c r="H9" s="35" t="str">
        <x:f>IF(F9="","",MAX(0,F9-E9))</x:f>
      </x:c>
      <x:c r="I9" s="45"/>
      <x:c r="J9" s="34"/>
      <x:c r="K9" s="33" t="str">
        <x:f>IF(A9="","",DATE(YEAR(A9),MONTH(A9),1))</x:f>
      </x:c>
      <x:c r="L9" s="31"/>
      <x:c r="M9" s="31"/>
      <x:c r="N9" s="31"/>
      <x:c r="O9" s="31"/>
    </x:row>
    <x:row r="10">
      <x:c r="A10" s="36"/>
      <x:c r="B10" s="34"/>
      <x:c r="C10" s="34" t="str">
        <x:f>IF(B10="","",XLOOKUP(B10,Employees!$A$4:$A$53,Employees!$B$4:$B$53,""))</x:f>
      </x:c>
      <x:c r="D10" s="34"/>
      <x:c r="E10" s="35" t="n">
        <x:v>8</x:v>
      </x:c>
      <x:c r="F10" s="35"/>
      <x:c r="G10" s="35" t="str">
        <x:f>IF(F10="","",MIN(F10,E10))</x:f>
      </x:c>
      <x:c r="H10" s="35" t="str">
        <x:f>IF(F10="","",MAX(0,F10-E10))</x:f>
      </x:c>
      <x:c r="I10" s="45"/>
      <x:c r="J10" s="34"/>
      <x:c r="K10" s="33" t="str">
        <x:f>IF(A10="","",DATE(YEAR(A10),MONTH(A10),1))</x:f>
      </x:c>
      <x:c r="L10" s="31"/>
      <x:c r="M10" s="31"/>
      <x:c r="N10" s="31"/>
      <x:c r="O10" s="31"/>
    </x:row>
    <x:row r="11">
      <x:c r="A11" s="36"/>
      <x:c r="B11" s="34"/>
      <x:c r="C11" s="34" t="str">
        <x:f>IF(B11="","",XLOOKUP(B11,Employees!$A$4:$A$53,Employees!$B$4:$B$53,""))</x:f>
      </x:c>
      <x:c r="D11" s="34"/>
      <x:c r="E11" s="35" t="n">
        <x:v>8</x:v>
      </x:c>
      <x:c r="F11" s="35"/>
      <x:c r="G11" s="35" t="str">
        <x:f>IF(F11="","",MIN(F11,E11))</x:f>
      </x:c>
      <x:c r="H11" s="35" t="str">
        <x:f>IF(F11="","",MAX(0,F11-E11))</x:f>
      </x:c>
      <x:c r="I11" s="45"/>
      <x:c r="J11" s="34"/>
      <x:c r="K11" s="33" t="str">
        <x:f>IF(A11="","",DATE(YEAR(A11),MONTH(A11),1))</x:f>
      </x:c>
      <x:c r="L11" s="31"/>
      <x:c r="M11" s="31"/>
      <x:c r="N11" s="31"/>
      <x:c r="O11" s="31"/>
    </x:row>
    <x:row r="12">
      <x:c r="A12" s="36"/>
      <x:c r="B12" s="34"/>
      <x:c r="C12" s="34" t="str">
        <x:f>IF(B12="","",XLOOKUP(B12,Employees!$A$4:$A$53,Employees!$B$4:$B$53,""))</x:f>
      </x:c>
      <x:c r="D12" s="34"/>
      <x:c r="E12" s="35" t="n">
        <x:v>8</x:v>
      </x:c>
      <x:c r="F12" s="35"/>
      <x:c r="G12" s="35" t="str">
        <x:f>IF(F12="","",MIN(F12,E12))</x:f>
      </x:c>
      <x:c r="H12" s="35" t="str">
        <x:f>IF(F12="","",MAX(0,F12-E12))</x:f>
      </x:c>
      <x:c r="I12" s="45"/>
      <x:c r="J12" s="34"/>
      <x:c r="K12" s="33" t="str">
        <x:f>IF(A12="","",DATE(YEAR(A12),MONTH(A12),1))</x:f>
      </x:c>
      <x:c r="L12" s="31"/>
      <x:c r="M12" s="31"/>
      <x:c r="N12" s="31"/>
      <x:c r="O12" s="31"/>
    </x:row>
    <x:row r="13">
      <x:c r="A13" s="36"/>
      <x:c r="B13" s="34"/>
      <x:c r="C13" s="34" t="str">
        <x:f>IF(B13="","",XLOOKUP(B13,Employees!$A$4:$A$53,Employees!$B$4:$B$53,""))</x:f>
      </x:c>
      <x:c r="D13" s="34"/>
      <x:c r="E13" s="35" t="n">
        <x:v>8</x:v>
      </x:c>
      <x:c r="F13" s="35"/>
      <x:c r="G13" s="35" t="str">
        <x:f>IF(F13="","",MIN(F13,E13))</x:f>
      </x:c>
      <x:c r="H13" s="35" t="str">
        <x:f>IF(F13="","",MAX(0,F13-E13))</x:f>
      </x:c>
      <x:c r="I13" s="45"/>
      <x:c r="J13" s="34"/>
      <x:c r="K13" s="33" t="str">
        <x:f>IF(A13="","",DATE(YEAR(A13),MONTH(A13),1))</x:f>
      </x:c>
      <x:c r="L13" s="31"/>
      <x:c r="M13" s="31"/>
      <x:c r="N13" s="31"/>
      <x:c r="O13" s="31"/>
    </x:row>
    <x:row r="14">
      <x:c r="A14" s="36"/>
      <x:c r="B14" s="34"/>
      <x:c r="C14" s="34" t="str">
        <x:f>IF(B14="","",XLOOKUP(B14,Employees!$A$4:$A$53,Employees!$B$4:$B$53,""))</x:f>
      </x:c>
      <x:c r="D14" s="34"/>
      <x:c r="E14" s="35" t="n">
        <x:v>8</x:v>
      </x:c>
      <x:c r="F14" s="35"/>
      <x:c r="G14" s="35" t="str">
        <x:f>IF(F14="","",MIN(F14,E14))</x:f>
      </x:c>
      <x:c r="H14" s="35" t="str">
        <x:f>IF(F14="","",MAX(0,F14-E14))</x:f>
      </x:c>
      <x:c r="I14" s="45"/>
      <x:c r="J14" s="34"/>
      <x:c r="K14" s="33" t="str">
        <x:f>IF(A14="","",DATE(YEAR(A14),MONTH(A14),1))</x:f>
      </x:c>
      <x:c r="L14" s="31"/>
      <x:c r="M14" s="31"/>
      <x:c r="N14" s="31"/>
      <x:c r="O14" s="31"/>
    </x:row>
    <x:row r="15">
      <x:c r="A15" s="36"/>
      <x:c r="B15" s="34"/>
      <x:c r="C15" s="34" t="str">
        <x:f>IF(B15="","",XLOOKUP(B15,Employees!$A$4:$A$53,Employees!$B$4:$B$53,""))</x:f>
      </x:c>
      <x:c r="D15" s="34"/>
      <x:c r="E15" s="35" t="n">
        <x:v>8</x:v>
      </x:c>
      <x:c r="F15" s="35"/>
      <x:c r="G15" s="35" t="str">
        <x:f>IF(F15="","",MIN(F15,E15))</x:f>
      </x:c>
      <x:c r="H15" s="35" t="str">
        <x:f>IF(F15="","",MAX(0,F15-E15))</x:f>
      </x:c>
      <x:c r="I15" s="45"/>
      <x:c r="J15" s="34"/>
      <x:c r="K15" s="33" t="str">
        <x:f>IF(A15="","",DATE(YEAR(A15),MONTH(A15),1))</x:f>
      </x:c>
      <x:c r="L15" s="31"/>
      <x:c r="M15" s="31"/>
      <x:c r="N15" s="31"/>
      <x:c r="O15" s="31"/>
    </x:row>
    <x:row r="16">
      <x:c r="A16" s="36"/>
      <x:c r="B16" s="34"/>
      <x:c r="C16" s="34" t="str">
        <x:f>IF(B16="","",XLOOKUP(B16,Employees!$A$4:$A$53,Employees!$B$4:$B$53,""))</x:f>
      </x:c>
      <x:c r="D16" s="34"/>
      <x:c r="E16" s="35" t="n">
        <x:v>8</x:v>
      </x:c>
      <x:c r="F16" s="35"/>
      <x:c r="G16" s="35" t="str">
        <x:f>IF(F16="","",MIN(F16,E16))</x:f>
      </x:c>
      <x:c r="H16" s="35" t="str">
        <x:f>IF(F16="","",MAX(0,F16-E16))</x:f>
      </x:c>
      <x:c r="I16" s="45"/>
      <x:c r="J16" s="34"/>
      <x:c r="K16" s="33" t="str">
        <x:f>IF(A16="","",DATE(YEAR(A16),MONTH(A16),1))</x:f>
      </x:c>
      <x:c r="L16" s="31"/>
      <x:c r="M16" s="31"/>
      <x:c r="N16" s="31"/>
      <x:c r="O16" s="31"/>
    </x:row>
    <x:row r="17">
      <x:c r="A17" s="36"/>
      <x:c r="B17" s="34"/>
      <x:c r="C17" s="34" t="str">
        <x:f>IF(B17="","",XLOOKUP(B17,Employees!$A$4:$A$53,Employees!$B$4:$B$53,""))</x:f>
      </x:c>
      <x:c r="D17" s="34"/>
      <x:c r="E17" s="35" t="n">
        <x:v>8</x:v>
      </x:c>
      <x:c r="F17" s="35"/>
      <x:c r="G17" s="35" t="str">
        <x:f>IF(F17="","",MIN(F17,E17))</x:f>
      </x:c>
      <x:c r="H17" s="35" t="str">
        <x:f>IF(F17="","",MAX(0,F17-E17))</x:f>
      </x:c>
      <x:c r="I17" s="45"/>
      <x:c r="J17" s="34"/>
      <x:c r="K17" s="33" t="str">
        <x:f>IF(A17="","",DATE(YEAR(A17),MONTH(A17),1))</x:f>
      </x:c>
      <x:c r="L17" s="31"/>
      <x:c r="M17" s="31"/>
      <x:c r="N17" s="31"/>
      <x:c r="O17" s="31"/>
    </x:row>
    <x:row r="18">
      <x:c r="A18" s="36"/>
      <x:c r="B18" s="34"/>
      <x:c r="C18" s="34" t="str">
        <x:f>IF(B18="","",XLOOKUP(B18,Employees!$A$4:$A$53,Employees!$B$4:$B$53,""))</x:f>
      </x:c>
      <x:c r="D18" s="34"/>
      <x:c r="E18" s="35" t="n">
        <x:v>8</x:v>
      </x:c>
      <x:c r="F18" s="35"/>
      <x:c r="G18" s="35" t="str">
        <x:f>IF(F18="","",MIN(F18,E18))</x:f>
      </x:c>
      <x:c r="H18" s="35" t="str">
        <x:f>IF(F18="","",MAX(0,F18-E18))</x:f>
      </x:c>
      <x:c r="I18" s="45"/>
      <x:c r="J18" s="34"/>
      <x:c r="K18" s="33" t="str">
        <x:f>IF(A18="","",DATE(YEAR(A18),MONTH(A18),1))</x:f>
      </x:c>
      <x:c r="L18" s="31"/>
      <x:c r="M18" s="31"/>
      <x:c r="N18" s="31"/>
      <x:c r="O18" s="31"/>
    </x:row>
    <x:row r="19">
      <x:c r="A19" s="36"/>
      <x:c r="B19" s="34"/>
      <x:c r="C19" s="34" t="str">
        <x:f>IF(B19="","",XLOOKUP(B19,Employees!$A$4:$A$53,Employees!$B$4:$B$53,""))</x:f>
      </x:c>
      <x:c r="D19" s="34"/>
      <x:c r="E19" s="35" t="n">
        <x:v>8</x:v>
      </x:c>
      <x:c r="F19" s="35"/>
      <x:c r="G19" s="35" t="str">
        <x:f>IF(F19="","",MIN(F19,E19))</x:f>
      </x:c>
      <x:c r="H19" s="35" t="str">
        <x:f>IF(F19="","",MAX(0,F19-E19))</x:f>
      </x:c>
      <x:c r="I19" s="45"/>
      <x:c r="J19" s="34"/>
      <x:c r="K19" s="33" t="str">
        <x:f>IF(A19="","",DATE(YEAR(A19),MONTH(A19),1))</x:f>
      </x:c>
      <x:c r="L19" s="31"/>
      <x:c r="M19" s="31"/>
      <x:c r="N19" s="31"/>
      <x:c r="O19" s="31"/>
    </x:row>
    <x:row r="20">
      <x:c r="A20" s="36"/>
      <x:c r="B20" s="34"/>
      <x:c r="C20" s="34" t="str">
        <x:f>IF(B20="","",XLOOKUP(B20,Employees!$A$4:$A$53,Employees!$B$4:$B$53,""))</x:f>
      </x:c>
      <x:c r="D20" s="34"/>
      <x:c r="E20" s="35" t="n">
        <x:v>8</x:v>
      </x:c>
      <x:c r="F20" s="35"/>
      <x:c r="G20" s="35" t="str">
        <x:f>IF(F20="","",MIN(F20,E20))</x:f>
      </x:c>
      <x:c r="H20" s="35" t="str">
        <x:f>IF(F20="","",MAX(0,F20-E20))</x:f>
      </x:c>
      <x:c r="I20" s="45"/>
      <x:c r="J20" s="34"/>
      <x:c r="K20" s="33" t="str">
        <x:f>IF(A20="","",DATE(YEAR(A20),MONTH(A20),1))</x:f>
      </x:c>
      <x:c r="L20" s="31"/>
      <x:c r="M20" s="31"/>
      <x:c r="N20" s="31"/>
      <x:c r="O20" s="31"/>
    </x:row>
    <x:row r="21">
      <x:c r="A21" s="36"/>
      <x:c r="B21" s="34"/>
      <x:c r="C21" s="34" t="str">
        <x:f>IF(B21="","",XLOOKUP(B21,Employees!$A$4:$A$53,Employees!$B$4:$B$53,""))</x:f>
      </x:c>
      <x:c r="D21" s="34"/>
      <x:c r="E21" s="35" t="n">
        <x:v>8</x:v>
      </x:c>
      <x:c r="F21" s="35"/>
      <x:c r="G21" s="35" t="str">
        <x:f>IF(F21="","",MIN(F21,E21))</x:f>
      </x:c>
      <x:c r="H21" s="35" t="str">
        <x:f>IF(F21="","",MAX(0,F21-E21))</x:f>
      </x:c>
      <x:c r="I21" s="45"/>
      <x:c r="J21" s="34"/>
      <x:c r="K21" s="33" t="str">
        <x:f>IF(A21="","",DATE(YEAR(A21),MONTH(A21),1))</x:f>
      </x:c>
      <x:c r="L21" s="31"/>
      <x:c r="M21" s="31"/>
      <x:c r="N21" s="31"/>
      <x:c r="O21" s="31"/>
    </x:row>
    <x:row r="22">
      <x:c r="A22" s="36"/>
      <x:c r="B22" s="34"/>
      <x:c r="C22" s="34" t="str">
        <x:f>IF(B22="","",XLOOKUP(B22,Employees!$A$4:$A$53,Employees!$B$4:$B$53,""))</x:f>
      </x:c>
      <x:c r="D22" s="34"/>
      <x:c r="E22" s="35" t="n">
        <x:v>8</x:v>
      </x:c>
      <x:c r="F22" s="35"/>
      <x:c r="G22" s="35" t="str">
        <x:f>IF(F22="","",MIN(F22,E22))</x:f>
      </x:c>
      <x:c r="H22" s="35" t="str">
        <x:f>IF(F22="","",MAX(0,F22-E22))</x:f>
      </x:c>
      <x:c r="I22" s="45"/>
      <x:c r="J22" s="34"/>
      <x:c r="K22" s="33" t="str">
        <x:f>IF(A22="","",DATE(YEAR(A22),MONTH(A22),1))</x:f>
      </x:c>
      <x:c r="L22" s="31"/>
      <x:c r="M22" s="31"/>
      <x:c r="N22" s="31"/>
      <x:c r="O22" s="31"/>
    </x:row>
    <x:row r="23">
      <x:c r="A23" s="36"/>
      <x:c r="B23" s="34"/>
      <x:c r="C23" s="34" t="str">
        <x:f>IF(B23="","",XLOOKUP(B23,Employees!$A$4:$A$53,Employees!$B$4:$B$53,""))</x:f>
      </x:c>
      <x:c r="D23" s="34"/>
      <x:c r="E23" s="35" t="n">
        <x:v>8</x:v>
      </x:c>
      <x:c r="F23" s="35"/>
      <x:c r="G23" s="35" t="str">
        <x:f>IF(F23="","",MIN(F23,E23))</x:f>
      </x:c>
      <x:c r="H23" s="35" t="str">
        <x:f>IF(F23="","",MAX(0,F23-E23))</x:f>
      </x:c>
      <x:c r="I23" s="45"/>
      <x:c r="J23" s="34"/>
      <x:c r="K23" s="33" t="str">
        <x:f>IF(A23="","",DATE(YEAR(A23),MONTH(A23),1))</x:f>
      </x:c>
      <x:c r="L23" s="31"/>
      <x:c r="M23" s="31"/>
      <x:c r="N23" s="31"/>
      <x:c r="O23" s="31"/>
    </x:row>
    <x:row r="24">
      <x:c r="A24" s="36"/>
      <x:c r="B24" s="34"/>
      <x:c r="C24" s="34" t="str">
        <x:f>IF(B24="","",XLOOKUP(B24,Employees!$A$4:$A$53,Employees!$B$4:$B$53,""))</x:f>
      </x:c>
      <x:c r="D24" s="34"/>
      <x:c r="E24" s="35" t="n">
        <x:v>8</x:v>
      </x:c>
      <x:c r="F24" s="35"/>
      <x:c r="G24" s="35" t="str">
        <x:f>IF(F24="","",MIN(F24,E24))</x:f>
      </x:c>
      <x:c r="H24" s="35" t="str">
        <x:f>IF(F24="","",MAX(0,F24-E24))</x:f>
      </x:c>
      <x:c r="I24" s="45"/>
      <x:c r="J24" s="34"/>
      <x:c r="K24" s="33" t="str">
        <x:f>IF(A24="","",DATE(YEAR(A24),MONTH(A24),1))</x:f>
      </x:c>
      <x:c r="L24" s="31"/>
      <x:c r="M24" s="31"/>
      <x:c r="N24" s="31"/>
      <x:c r="O24" s="31"/>
    </x:row>
    <x:row r="25">
      <x:c r="A25" s="36"/>
      <x:c r="B25" s="34"/>
      <x:c r="C25" s="34" t="str">
        <x:f>IF(B25="","",XLOOKUP(B25,Employees!$A$4:$A$53,Employees!$B$4:$B$53,""))</x:f>
      </x:c>
      <x:c r="D25" s="34"/>
      <x:c r="E25" s="35" t="n">
        <x:v>8</x:v>
      </x:c>
      <x:c r="F25" s="35"/>
      <x:c r="G25" s="35" t="str">
        <x:f>IF(F25="","",MIN(F25,E25))</x:f>
      </x:c>
      <x:c r="H25" s="35" t="str">
        <x:f>IF(F25="","",MAX(0,F25-E25))</x:f>
      </x:c>
      <x:c r="I25" s="45"/>
      <x:c r="J25" s="34"/>
      <x:c r="K25" s="33" t="str">
        <x:f>IF(A25="","",DATE(YEAR(A25),MONTH(A25),1))</x:f>
      </x:c>
      <x:c r="L25" s="31"/>
      <x:c r="M25" s="31"/>
      <x:c r="N25" s="31"/>
      <x:c r="O25" s="31"/>
    </x:row>
    <x:row r="26">
      <x:c r="A26" s="36"/>
      <x:c r="B26" s="34"/>
      <x:c r="C26" s="34" t="str">
        <x:f>IF(B26="","",XLOOKUP(B26,Employees!$A$4:$A$53,Employees!$B$4:$B$53,""))</x:f>
      </x:c>
      <x:c r="D26" s="34"/>
      <x:c r="E26" s="35" t="n">
        <x:v>8</x:v>
      </x:c>
      <x:c r="F26" s="35"/>
      <x:c r="G26" s="35" t="str">
        <x:f>IF(F26="","",MIN(F26,E26))</x:f>
      </x:c>
      <x:c r="H26" s="35" t="str">
        <x:f>IF(F26="","",MAX(0,F26-E26))</x:f>
      </x:c>
      <x:c r="I26" s="45"/>
      <x:c r="J26" s="34"/>
      <x:c r="K26" s="33" t="str">
        <x:f>IF(A26="","",DATE(YEAR(A26),MONTH(A26),1))</x:f>
      </x:c>
      <x:c r="L26" s="31"/>
      <x:c r="M26" s="31"/>
      <x:c r="N26" s="31"/>
      <x:c r="O26" s="31"/>
    </x:row>
    <x:row r="27">
      <x:c r="A27" s="36"/>
      <x:c r="B27" s="34"/>
      <x:c r="C27" s="34" t="str">
        <x:f>IF(B27="","",XLOOKUP(B27,Employees!$A$4:$A$53,Employees!$B$4:$B$53,""))</x:f>
      </x:c>
      <x:c r="D27" s="34"/>
      <x:c r="E27" s="35" t="n">
        <x:v>8</x:v>
      </x:c>
      <x:c r="F27" s="35"/>
      <x:c r="G27" s="35" t="str">
        <x:f>IF(F27="","",MIN(F27,E27))</x:f>
      </x:c>
      <x:c r="H27" s="35" t="str">
        <x:f>IF(F27="","",MAX(0,F27-E27))</x:f>
      </x:c>
      <x:c r="I27" s="45"/>
      <x:c r="J27" s="34"/>
      <x:c r="K27" s="33" t="str">
        <x:f>IF(A27="","",DATE(YEAR(A27),MONTH(A27),1))</x:f>
      </x:c>
      <x:c r="L27" s="31"/>
      <x:c r="M27" s="31"/>
      <x:c r="N27" s="31"/>
      <x:c r="O27" s="31"/>
    </x:row>
    <x:row r="28">
      <x:c r="A28" s="36"/>
      <x:c r="B28" s="34"/>
      <x:c r="C28" s="34" t="str">
        <x:f>IF(B28="","",XLOOKUP(B28,Employees!$A$4:$A$53,Employees!$B$4:$B$53,""))</x:f>
      </x:c>
      <x:c r="D28" s="34"/>
      <x:c r="E28" s="35" t="n">
        <x:v>8</x:v>
      </x:c>
      <x:c r="F28" s="35"/>
      <x:c r="G28" s="35" t="str">
        <x:f>IF(F28="","",MIN(F28,E28))</x:f>
      </x:c>
      <x:c r="H28" s="35" t="str">
        <x:f>IF(F28="","",MAX(0,F28-E28))</x:f>
      </x:c>
      <x:c r="I28" s="45"/>
      <x:c r="J28" s="34"/>
      <x:c r="K28" s="33" t="str">
        <x:f>IF(A28="","",DATE(YEAR(A28),MONTH(A28),1))</x:f>
      </x:c>
      <x:c r="L28" s="31"/>
      <x:c r="M28" s="31"/>
      <x:c r="N28" s="31"/>
      <x:c r="O28" s="31"/>
    </x:row>
    <x:row r="29">
      <x:c r="A29" s="36"/>
      <x:c r="B29" s="34"/>
      <x:c r="C29" s="34" t="str">
        <x:f>IF(B29="","",XLOOKUP(B29,Employees!$A$4:$A$53,Employees!$B$4:$B$53,""))</x:f>
      </x:c>
      <x:c r="D29" s="34"/>
      <x:c r="E29" s="35" t="n">
        <x:v>8</x:v>
      </x:c>
      <x:c r="F29" s="35"/>
      <x:c r="G29" s="35" t="str">
        <x:f>IF(F29="","",MIN(F29,E29))</x:f>
      </x:c>
      <x:c r="H29" s="35" t="str">
        <x:f>IF(F29="","",MAX(0,F29-E29))</x:f>
      </x:c>
      <x:c r="I29" s="45"/>
      <x:c r="J29" s="34"/>
      <x:c r="K29" s="33" t="str">
        <x:f>IF(A29="","",DATE(YEAR(A29),MONTH(A29),1))</x:f>
      </x:c>
      <x:c r="L29" s="31"/>
      <x:c r="M29" s="31"/>
      <x:c r="N29" s="31"/>
      <x:c r="O29" s="31"/>
    </x:row>
    <x:row r="30">
      <x:c r="A30" s="36"/>
      <x:c r="B30" s="34"/>
      <x:c r="C30" s="34" t="str">
        <x:f>IF(B30="","",XLOOKUP(B30,Employees!$A$4:$A$53,Employees!$B$4:$B$53,""))</x:f>
      </x:c>
      <x:c r="D30" s="34"/>
      <x:c r="E30" s="35" t="n">
        <x:v>8</x:v>
      </x:c>
      <x:c r="F30" s="35"/>
      <x:c r="G30" s="35" t="str">
        <x:f>IF(F30="","",MIN(F30,E30))</x:f>
      </x:c>
      <x:c r="H30" s="35" t="str">
        <x:f>IF(F30="","",MAX(0,F30-E30))</x:f>
      </x:c>
      <x:c r="I30" s="45"/>
      <x:c r="J30" s="34"/>
      <x:c r="K30" s="33" t="str">
        <x:f>IF(A30="","",DATE(YEAR(A30),MONTH(A30),1))</x:f>
      </x:c>
      <x:c r="L30" s="31"/>
      <x:c r="M30" s="31"/>
      <x:c r="N30" s="31"/>
      <x:c r="O30" s="31"/>
    </x:row>
    <x:row r="31">
      <x:c r="A31" s="36"/>
      <x:c r="B31" s="34"/>
      <x:c r="C31" s="34" t="str">
        <x:f>IF(B31="","",XLOOKUP(B31,Employees!$A$4:$A$53,Employees!$B$4:$B$53,""))</x:f>
      </x:c>
      <x:c r="D31" s="34"/>
      <x:c r="E31" s="35" t="n">
        <x:v>8</x:v>
      </x:c>
      <x:c r="F31" s="35"/>
      <x:c r="G31" s="35" t="str">
        <x:f>IF(F31="","",MIN(F31,E31))</x:f>
      </x:c>
      <x:c r="H31" s="35" t="str">
        <x:f>IF(F31="","",MAX(0,F31-E31))</x:f>
      </x:c>
      <x:c r="I31" s="45"/>
      <x:c r="J31" s="34"/>
      <x:c r="K31" s="33" t="str">
        <x:f>IF(A31="","",DATE(YEAR(A31),MONTH(A31),1))</x:f>
      </x:c>
      <x:c r="L31" s="31"/>
      <x:c r="M31" s="31"/>
      <x:c r="N31" s="31"/>
      <x:c r="O31" s="31"/>
    </x:row>
    <x:row r="32">
      <x:c r="A32" s="36"/>
      <x:c r="B32" s="34"/>
      <x:c r="C32" s="34" t="str">
        <x:f>IF(B32="","",XLOOKUP(B32,Employees!$A$4:$A$53,Employees!$B$4:$B$53,""))</x:f>
      </x:c>
      <x:c r="D32" s="34"/>
      <x:c r="E32" s="35" t="n">
        <x:v>8</x:v>
      </x:c>
      <x:c r="F32" s="35"/>
      <x:c r="G32" s="35" t="str">
        <x:f>IF(F32="","",MIN(F32,E32))</x:f>
      </x:c>
      <x:c r="H32" s="35" t="str">
        <x:f>IF(F32="","",MAX(0,F32-E32))</x:f>
      </x:c>
      <x:c r="I32" s="45"/>
      <x:c r="J32" s="34"/>
      <x:c r="K32" s="33" t="str">
        <x:f>IF(A32="","",DATE(YEAR(A32),MONTH(A32),1))</x:f>
      </x:c>
      <x:c r="L32" s="31"/>
      <x:c r="M32" s="31"/>
      <x:c r="N32" s="31"/>
      <x:c r="O32" s="31"/>
    </x:row>
    <x:row r="33">
      <x:c r="A33" s="36"/>
      <x:c r="B33" s="34"/>
      <x:c r="C33" s="34" t="str">
        <x:f>IF(B33="","",XLOOKUP(B33,Employees!$A$4:$A$53,Employees!$B$4:$B$53,""))</x:f>
      </x:c>
      <x:c r="D33" s="34"/>
      <x:c r="E33" s="35" t="n">
        <x:v>8</x:v>
      </x:c>
      <x:c r="F33" s="35"/>
      <x:c r="G33" s="35" t="str">
        <x:f>IF(F33="","",MIN(F33,E33))</x:f>
      </x:c>
      <x:c r="H33" s="35" t="str">
        <x:f>IF(F33="","",MAX(0,F33-E33))</x:f>
      </x:c>
      <x:c r="I33" s="45"/>
      <x:c r="J33" s="34"/>
      <x:c r="K33" s="33" t="str">
        <x:f>IF(A33="","",DATE(YEAR(A33),MONTH(A33),1))</x:f>
      </x:c>
      <x:c r="L33" s="31"/>
      <x:c r="M33" s="31"/>
      <x:c r="N33" s="31"/>
      <x:c r="O33" s="31"/>
    </x:row>
    <x:row r="34">
      <x:c r="A34" s="36"/>
      <x:c r="B34" s="34"/>
      <x:c r="C34" s="34" t="str">
        <x:f>IF(B34="","",XLOOKUP(B34,Employees!$A$4:$A$53,Employees!$B$4:$B$53,""))</x:f>
      </x:c>
      <x:c r="D34" s="34"/>
      <x:c r="E34" s="35" t="n">
        <x:v>8</x:v>
      </x:c>
      <x:c r="F34" s="35"/>
      <x:c r="G34" s="35" t="str">
        <x:f>IF(F34="","",MIN(F34,E34))</x:f>
      </x:c>
      <x:c r="H34" s="35" t="str">
        <x:f>IF(F34="","",MAX(0,F34-E34))</x:f>
      </x:c>
      <x:c r="I34" s="45"/>
      <x:c r="J34" s="34"/>
      <x:c r="K34" s="33" t="str">
        <x:f>IF(A34="","",DATE(YEAR(A34),MONTH(A34),1))</x:f>
      </x:c>
      <x:c r="L34" s="31"/>
      <x:c r="M34" s="31"/>
      <x:c r="N34" s="31"/>
      <x:c r="O34" s="31"/>
    </x:row>
    <x:row r="35">
      <x:c r="A35" s="36"/>
      <x:c r="B35" s="34"/>
      <x:c r="C35" s="34" t="str">
        <x:f>IF(B35="","",XLOOKUP(B35,Employees!$A$4:$A$53,Employees!$B$4:$B$53,""))</x:f>
      </x:c>
      <x:c r="D35" s="34"/>
      <x:c r="E35" s="35" t="n">
        <x:v>8</x:v>
      </x:c>
      <x:c r="F35" s="35"/>
      <x:c r="G35" s="35" t="str">
        <x:f>IF(F35="","",MIN(F35,E35))</x:f>
      </x:c>
      <x:c r="H35" s="35" t="str">
        <x:f>IF(F35="","",MAX(0,F35-E35))</x:f>
      </x:c>
      <x:c r="I35" s="45"/>
      <x:c r="J35" s="34"/>
      <x:c r="K35" s="33" t="str">
        <x:f>IF(A35="","",DATE(YEAR(A35),MONTH(A35),1))</x:f>
      </x:c>
      <x:c r="L35" s="31"/>
      <x:c r="M35" s="31"/>
      <x:c r="N35" s="31"/>
      <x:c r="O35" s="31"/>
    </x:row>
    <x:row r="36">
      <x:c r="A36" s="36"/>
      <x:c r="B36" s="34"/>
      <x:c r="C36" s="34" t="str">
        <x:f>IF(B36="","",XLOOKUP(B36,Employees!$A$4:$A$53,Employees!$B$4:$B$53,""))</x:f>
      </x:c>
      <x:c r="D36" s="34"/>
      <x:c r="E36" s="35" t="n">
        <x:v>8</x:v>
      </x:c>
      <x:c r="F36" s="35"/>
      <x:c r="G36" s="35" t="str">
        <x:f>IF(F36="","",MIN(F36,E36))</x:f>
      </x:c>
      <x:c r="H36" s="35" t="str">
        <x:f>IF(F36="","",MAX(0,F36-E36))</x:f>
      </x:c>
      <x:c r="I36" s="45"/>
      <x:c r="J36" s="34"/>
      <x:c r="K36" s="33" t="str">
        <x:f>IF(A36="","",DATE(YEAR(A36),MONTH(A36),1))</x:f>
      </x:c>
      <x:c r="L36" s="31"/>
      <x:c r="M36" s="31"/>
      <x:c r="N36" s="31"/>
      <x:c r="O36" s="31"/>
    </x:row>
    <x:row r="37">
      <x:c r="A37" s="36"/>
      <x:c r="B37" s="34"/>
      <x:c r="C37" s="34" t="str">
        <x:f>IF(B37="","",XLOOKUP(B37,Employees!$A$4:$A$53,Employees!$B$4:$B$53,""))</x:f>
      </x:c>
      <x:c r="D37" s="34"/>
      <x:c r="E37" s="35" t="n">
        <x:v>8</x:v>
      </x:c>
      <x:c r="F37" s="35"/>
      <x:c r="G37" s="35" t="str">
        <x:f>IF(F37="","",MIN(F37,E37))</x:f>
      </x:c>
      <x:c r="H37" s="35" t="str">
        <x:f>IF(F37="","",MAX(0,F37-E37))</x:f>
      </x:c>
      <x:c r="I37" s="45"/>
      <x:c r="J37" s="34"/>
      <x:c r="K37" s="33" t="str">
        <x:f>IF(A37="","",DATE(YEAR(A37),MONTH(A37),1))</x:f>
      </x:c>
      <x:c r="L37" s="31"/>
      <x:c r="M37" s="31"/>
      <x:c r="N37" s="31"/>
      <x:c r="O37" s="31"/>
    </x:row>
    <x:row r="38">
      <x:c r="A38" s="36"/>
      <x:c r="B38" s="34"/>
      <x:c r="C38" s="34" t="str">
        <x:f>IF(B38="","",XLOOKUP(B38,Employees!$A$4:$A$53,Employees!$B$4:$B$53,""))</x:f>
      </x:c>
      <x:c r="D38" s="34"/>
      <x:c r="E38" s="35" t="n">
        <x:v>8</x:v>
      </x:c>
      <x:c r="F38" s="35"/>
      <x:c r="G38" s="35" t="str">
        <x:f>IF(F38="","",MIN(F38,E38))</x:f>
      </x:c>
      <x:c r="H38" s="35" t="str">
        <x:f>IF(F38="","",MAX(0,F38-E38))</x:f>
      </x:c>
      <x:c r="I38" s="45"/>
      <x:c r="J38" s="34"/>
      <x:c r="K38" s="33" t="str">
        <x:f>IF(A38="","",DATE(YEAR(A38),MONTH(A38),1))</x:f>
      </x:c>
      <x:c r="L38" s="31"/>
      <x:c r="M38" s="31"/>
      <x:c r="N38" s="31"/>
      <x:c r="O38" s="31"/>
    </x:row>
    <x:row r="39">
      <x:c r="A39" s="36"/>
      <x:c r="B39" s="34"/>
      <x:c r="C39" s="34" t="str">
        <x:f>IF(B39="","",XLOOKUP(B39,Employees!$A$4:$A$53,Employees!$B$4:$B$53,""))</x:f>
      </x:c>
      <x:c r="D39" s="34"/>
      <x:c r="E39" s="35" t="n">
        <x:v>8</x:v>
      </x:c>
      <x:c r="F39" s="35"/>
      <x:c r="G39" s="35" t="str">
        <x:f>IF(F39="","",MIN(F39,E39))</x:f>
      </x:c>
      <x:c r="H39" s="35" t="str">
        <x:f>IF(F39="","",MAX(0,F39-E39))</x:f>
      </x:c>
      <x:c r="I39" s="45"/>
      <x:c r="J39" s="34"/>
      <x:c r="K39" s="33" t="str">
        <x:f>IF(A39="","",DATE(YEAR(A39),MONTH(A39),1))</x:f>
      </x:c>
      <x:c r="L39" s="31"/>
      <x:c r="M39" s="31"/>
      <x:c r="N39" s="31"/>
      <x:c r="O39" s="31"/>
    </x:row>
    <x:row r="40">
      <x:c r="A40" s="36"/>
      <x:c r="B40" s="34"/>
      <x:c r="C40" s="34" t="str">
        <x:f>IF(B40="","",XLOOKUP(B40,Employees!$A$4:$A$53,Employees!$B$4:$B$53,""))</x:f>
      </x:c>
      <x:c r="D40" s="34"/>
      <x:c r="E40" s="35" t="n">
        <x:v>8</x:v>
      </x:c>
      <x:c r="F40" s="35"/>
      <x:c r="G40" s="35" t="str">
        <x:f>IF(F40="","",MIN(F40,E40))</x:f>
      </x:c>
      <x:c r="H40" s="35" t="str">
        <x:f>IF(F40="","",MAX(0,F40-E40))</x:f>
      </x:c>
      <x:c r="I40" s="45"/>
      <x:c r="J40" s="34"/>
      <x:c r="K40" s="33" t="str">
        <x:f>IF(A40="","",DATE(YEAR(A40),MONTH(A40),1))</x:f>
      </x:c>
      <x:c r="L40" s="31"/>
      <x:c r="M40" s="31"/>
      <x:c r="N40" s="31"/>
      <x:c r="O40" s="31"/>
    </x:row>
    <x:row r="41">
      <x:c r="A41" s="36"/>
      <x:c r="B41" s="34"/>
      <x:c r="C41" s="34" t="str">
        <x:f>IF(B41="","",XLOOKUP(B41,Employees!$A$4:$A$53,Employees!$B$4:$B$53,""))</x:f>
      </x:c>
      <x:c r="D41" s="34"/>
      <x:c r="E41" s="35" t="n">
        <x:v>8</x:v>
      </x:c>
      <x:c r="F41" s="35"/>
      <x:c r="G41" s="35" t="str">
        <x:f>IF(F41="","",MIN(F41,E41))</x:f>
      </x:c>
      <x:c r="H41" s="35" t="str">
        <x:f>IF(F41="","",MAX(0,F41-E41))</x:f>
      </x:c>
      <x:c r="I41" s="45"/>
      <x:c r="J41" s="34"/>
      <x:c r="K41" s="33" t="str">
        <x:f>IF(A41="","",DATE(YEAR(A41),MONTH(A41),1))</x:f>
      </x:c>
      <x:c r="L41" s="31"/>
      <x:c r="M41" s="31"/>
      <x:c r="N41" s="31"/>
      <x:c r="O41" s="31"/>
    </x:row>
    <x:row r="42">
      <x:c r="A42" s="36"/>
      <x:c r="B42" s="34"/>
      <x:c r="C42" s="34" t="str">
        <x:f>IF(B42="","",XLOOKUP(B42,Employees!$A$4:$A$53,Employees!$B$4:$B$53,""))</x:f>
      </x:c>
      <x:c r="D42" s="34"/>
      <x:c r="E42" s="35" t="n">
        <x:v>8</x:v>
      </x:c>
      <x:c r="F42" s="35"/>
      <x:c r="G42" s="35" t="str">
        <x:f>IF(F42="","",MIN(F42,E42))</x:f>
      </x:c>
      <x:c r="H42" s="35" t="str">
        <x:f>IF(F42="","",MAX(0,F42-E42))</x:f>
      </x:c>
      <x:c r="I42" s="45"/>
      <x:c r="J42" s="34"/>
      <x:c r="K42" s="33" t="str">
        <x:f>IF(A42="","",DATE(YEAR(A42),MONTH(A42),1))</x:f>
      </x:c>
      <x:c r="L42" s="31"/>
      <x:c r="M42" s="31"/>
      <x:c r="N42" s="31"/>
      <x:c r="O42" s="31"/>
    </x:row>
    <x:row r="43">
      <x:c r="A43" s="36"/>
      <x:c r="B43" s="34"/>
      <x:c r="C43" s="34" t="str">
        <x:f>IF(B43="","",XLOOKUP(B43,Employees!$A$4:$A$53,Employees!$B$4:$B$53,""))</x:f>
      </x:c>
      <x:c r="D43" s="34"/>
      <x:c r="E43" s="35" t="n">
        <x:v>8</x:v>
      </x:c>
      <x:c r="F43" s="35"/>
      <x:c r="G43" s="35" t="str">
        <x:f>IF(F43="","",MIN(F43,E43))</x:f>
      </x:c>
      <x:c r="H43" s="35" t="str">
        <x:f>IF(F43="","",MAX(0,F43-E43))</x:f>
      </x:c>
      <x:c r="I43" s="45"/>
      <x:c r="J43" s="34"/>
      <x:c r="K43" s="33" t="str">
        <x:f>IF(A43="","",DATE(YEAR(A43),MONTH(A43),1))</x:f>
      </x:c>
      <x:c r="L43" s="31"/>
      <x:c r="M43" s="31"/>
      <x:c r="N43" s="31"/>
      <x:c r="O43" s="31"/>
    </x:row>
    <x:row r="44">
      <x:c r="A44" s="36"/>
      <x:c r="B44" s="34"/>
      <x:c r="C44" s="34" t="str">
        <x:f>IF(B44="","",XLOOKUP(B44,Employees!$A$4:$A$53,Employees!$B$4:$B$53,""))</x:f>
      </x:c>
      <x:c r="D44" s="34"/>
      <x:c r="E44" s="35" t="n">
        <x:v>8</x:v>
      </x:c>
      <x:c r="F44" s="35"/>
      <x:c r="G44" s="35" t="str">
        <x:f>IF(F44="","",MIN(F44,E44))</x:f>
      </x:c>
      <x:c r="H44" s="35" t="str">
        <x:f>IF(F44="","",MAX(0,F44-E44))</x:f>
      </x:c>
      <x:c r="I44" s="45"/>
      <x:c r="J44" s="34"/>
      <x:c r="K44" s="33" t="str">
        <x:f>IF(A44="","",DATE(YEAR(A44),MONTH(A44),1))</x:f>
      </x:c>
      <x:c r="L44" s="31"/>
      <x:c r="M44" s="31"/>
      <x:c r="N44" s="31"/>
      <x:c r="O44" s="31"/>
    </x:row>
    <x:row r="45">
      <x:c r="A45" s="36"/>
      <x:c r="B45" s="34"/>
      <x:c r="C45" s="34" t="str">
        <x:f>IF(B45="","",XLOOKUP(B45,Employees!$A$4:$A$53,Employees!$B$4:$B$53,""))</x:f>
      </x:c>
      <x:c r="D45" s="34"/>
      <x:c r="E45" s="35" t="n">
        <x:v>8</x:v>
      </x:c>
      <x:c r="F45" s="35"/>
      <x:c r="G45" s="35" t="str">
        <x:f>IF(F45="","",MIN(F45,E45))</x:f>
      </x:c>
      <x:c r="H45" s="35" t="str">
        <x:f>IF(F45="","",MAX(0,F45-E45))</x:f>
      </x:c>
      <x:c r="I45" s="45"/>
      <x:c r="J45" s="34"/>
      <x:c r="K45" s="33" t="str">
        <x:f>IF(A45="","",DATE(YEAR(A45),MONTH(A45),1))</x:f>
      </x:c>
      <x:c r="L45" s="31"/>
      <x:c r="M45" s="31"/>
      <x:c r="N45" s="31"/>
      <x:c r="O45" s="31"/>
    </x:row>
    <x:row r="46">
      <x:c r="A46" s="36"/>
      <x:c r="B46" s="34"/>
      <x:c r="C46" s="34" t="str">
        <x:f>IF(B46="","",XLOOKUP(B46,Employees!$A$4:$A$53,Employees!$B$4:$B$53,""))</x:f>
      </x:c>
      <x:c r="D46" s="34"/>
      <x:c r="E46" s="35" t="n">
        <x:v>8</x:v>
      </x:c>
      <x:c r="F46" s="35"/>
      <x:c r="G46" s="35" t="str">
        <x:f>IF(F46="","",MIN(F46,E46))</x:f>
      </x:c>
      <x:c r="H46" s="35" t="str">
        <x:f>IF(F46="","",MAX(0,F46-E46))</x:f>
      </x:c>
      <x:c r="I46" s="45"/>
      <x:c r="J46" s="34"/>
      <x:c r="K46" s="33" t="str">
        <x:f>IF(A46="","",DATE(YEAR(A46),MONTH(A46),1))</x:f>
      </x:c>
      <x:c r="L46" s="31"/>
      <x:c r="M46" s="31"/>
      <x:c r="N46" s="31"/>
      <x:c r="O46" s="31"/>
    </x:row>
    <x:row r="47">
      <x:c r="A47" s="36"/>
      <x:c r="B47" s="34"/>
      <x:c r="C47" s="34" t="str">
        <x:f>IF(B47="","",XLOOKUP(B47,Employees!$A$4:$A$53,Employees!$B$4:$B$53,""))</x:f>
      </x:c>
      <x:c r="D47" s="34"/>
      <x:c r="E47" s="35" t="n">
        <x:v>8</x:v>
      </x:c>
      <x:c r="F47" s="35"/>
      <x:c r="G47" s="35" t="str">
        <x:f>IF(F47="","",MIN(F47,E47))</x:f>
      </x:c>
      <x:c r="H47" s="35" t="str">
        <x:f>IF(F47="","",MAX(0,F47-E47))</x:f>
      </x:c>
      <x:c r="I47" s="45"/>
      <x:c r="J47" s="34"/>
      <x:c r="K47" s="33" t="str">
        <x:f>IF(A47="","",DATE(YEAR(A47),MONTH(A47),1))</x:f>
      </x:c>
      <x:c r="L47" s="31"/>
      <x:c r="M47" s="31"/>
      <x:c r="N47" s="31"/>
      <x:c r="O47" s="31"/>
    </x:row>
    <x:row r="48">
      <x:c r="A48" s="36"/>
      <x:c r="B48" s="34"/>
      <x:c r="C48" s="34" t="str">
        <x:f>IF(B48="","",XLOOKUP(B48,Employees!$A$4:$A$53,Employees!$B$4:$B$53,""))</x:f>
      </x:c>
      <x:c r="D48" s="34"/>
      <x:c r="E48" s="35" t="n">
        <x:v>8</x:v>
      </x:c>
      <x:c r="F48" s="35"/>
      <x:c r="G48" s="35" t="str">
        <x:f>IF(F48="","",MIN(F48,E48))</x:f>
      </x:c>
      <x:c r="H48" s="35" t="str">
        <x:f>IF(F48="","",MAX(0,F48-E48))</x:f>
      </x:c>
      <x:c r="I48" s="45"/>
      <x:c r="J48" s="34"/>
      <x:c r="K48" s="33" t="str">
        <x:f>IF(A48="","",DATE(YEAR(A48),MONTH(A48),1))</x:f>
      </x:c>
      <x:c r="L48" s="31"/>
      <x:c r="M48" s="31"/>
      <x:c r="N48" s="31"/>
      <x:c r="O48" s="31"/>
    </x:row>
    <x:row r="49">
      <x:c r="A49" s="36"/>
      <x:c r="B49" s="34"/>
      <x:c r="C49" s="34" t="str">
        <x:f>IF(B49="","",XLOOKUP(B49,Employees!$A$4:$A$53,Employees!$B$4:$B$53,""))</x:f>
      </x:c>
      <x:c r="D49" s="34"/>
      <x:c r="E49" s="35" t="n">
        <x:v>8</x:v>
      </x:c>
      <x:c r="F49" s="35"/>
      <x:c r="G49" s="35" t="str">
        <x:f>IF(F49="","",MIN(F49,E49))</x:f>
      </x:c>
      <x:c r="H49" s="35" t="str">
        <x:f>IF(F49="","",MAX(0,F49-E49))</x:f>
      </x:c>
      <x:c r="I49" s="45"/>
      <x:c r="J49" s="34"/>
      <x:c r="K49" s="33" t="str">
        <x:f>IF(A49="","",DATE(YEAR(A49),MONTH(A49),1))</x:f>
      </x:c>
      <x:c r="L49" s="31"/>
      <x:c r="M49" s="31"/>
      <x:c r="N49" s="31"/>
      <x:c r="O49" s="31"/>
    </x:row>
    <x:row r="50">
      <x:c r="A50" s="36"/>
      <x:c r="B50" s="34"/>
      <x:c r="C50" s="34" t="str">
        <x:f>IF(B50="","",XLOOKUP(B50,Employees!$A$4:$A$53,Employees!$B$4:$B$53,""))</x:f>
      </x:c>
      <x:c r="D50" s="34"/>
      <x:c r="E50" s="35" t="n">
        <x:v>8</x:v>
      </x:c>
      <x:c r="F50" s="35"/>
      <x:c r="G50" s="35" t="str">
        <x:f>IF(F50="","",MIN(F50,E50))</x:f>
      </x:c>
      <x:c r="H50" s="35" t="str">
        <x:f>IF(F50="","",MAX(0,F50-E50))</x:f>
      </x:c>
      <x:c r="I50" s="45"/>
      <x:c r="J50" s="34"/>
      <x:c r="K50" s="33" t="str">
        <x:f>IF(A50="","",DATE(YEAR(A50),MONTH(A50),1))</x:f>
      </x:c>
      <x:c r="L50" s="31"/>
      <x:c r="M50" s="31"/>
      <x:c r="N50" s="31"/>
      <x:c r="O50" s="31"/>
    </x:row>
    <x:row r="51">
      <x:c r="A51" s="36"/>
      <x:c r="B51" s="34"/>
      <x:c r="C51" s="34" t="str">
        <x:f>IF(B51="","",XLOOKUP(B51,Employees!$A$4:$A$53,Employees!$B$4:$B$53,""))</x:f>
      </x:c>
      <x:c r="D51" s="34"/>
      <x:c r="E51" s="35" t="n">
        <x:v>8</x:v>
      </x:c>
      <x:c r="F51" s="35"/>
      <x:c r="G51" s="35" t="str">
        <x:f>IF(F51="","",MIN(F51,E51))</x:f>
      </x:c>
      <x:c r="H51" s="35" t="str">
        <x:f>IF(F51="","",MAX(0,F51-E51))</x:f>
      </x:c>
      <x:c r="I51" s="45"/>
      <x:c r="J51" s="34"/>
      <x:c r="K51" s="33" t="str">
        <x:f>IF(A51="","",DATE(YEAR(A51),MONTH(A51),1))</x:f>
      </x:c>
      <x:c r="L51" s="31"/>
      <x:c r="M51" s="31"/>
      <x:c r="N51" s="31"/>
      <x:c r="O51" s="31"/>
    </x:row>
    <x:row r="52">
      <x:c r="A52" s="36"/>
      <x:c r="B52" s="34"/>
      <x:c r="C52" s="34" t="str">
        <x:f>IF(B52="","",XLOOKUP(B52,Employees!$A$4:$A$53,Employees!$B$4:$B$53,""))</x:f>
      </x:c>
      <x:c r="D52" s="34"/>
      <x:c r="E52" s="35" t="n">
        <x:v>8</x:v>
      </x:c>
      <x:c r="F52" s="35"/>
      <x:c r="G52" s="35" t="str">
        <x:f>IF(F52="","",MIN(F52,E52))</x:f>
      </x:c>
      <x:c r="H52" s="35" t="str">
        <x:f>IF(F52="","",MAX(0,F52-E52))</x:f>
      </x:c>
      <x:c r="I52" s="45"/>
      <x:c r="J52" s="34"/>
      <x:c r="K52" s="33" t="str">
        <x:f>IF(A52="","",DATE(YEAR(A52),MONTH(A52),1))</x:f>
      </x:c>
      <x:c r="L52" s="31"/>
      <x:c r="M52" s="31"/>
      <x:c r="N52" s="31"/>
      <x:c r="O52" s="31"/>
    </x:row>
    <x:row r="53">
      <x:c r="A53" s="36"/>
      <x:c r="B53" s="34"/>
      <x:c r="C53" s="34" t="str">
        <x:f>IF(B53="","",XLOOKUP(B53,Employees!$A$4:$A$53,Employees!$B$4:$B$53,""))</x:f>
      </x:c>
      <x:c r="D53" s="34"/>
      <x:c r="E53" s="35" t="n">
        <x:v>8</x:v>
      </x:c>
      <x:c r="F53" s="35"/>
      <x:c r="G53" s="35" t="str">
        <x:f>IF(F53="","",MIN(F53,E53))</x:f>
      </x:c>
      <x:c r="H53" s="35" t="str">
        <x:f>IF(F53="","",MAX(0,F53-E53))</x:f>
      </x:c>
      <x:c r="I53" s="45"/>
      <x:c r="J53" s="34"/>
      <x:c r="K53" s="33" t="str">
        <x:f>IF(A53="","",DATE(YEAR(A53),MONTH(A53),1))</x:f>
      </x:c>
      <x:c r="L53" s="31"/>
      <x:c r="M53" s="31"/>
      <x:c r="N53" s="31"/>
      <x:c r="O53" s="31"/>
    </x:row>
    <x:row r="54">
      <x:c r="A54" s="36"/>
      <x:c r="B54" s="34"/>
      <x:c r="C54" s="34" t="str">
        <x:f>IF(B54="","",XLOOKUP(B54,Employees!$A$4:$A$53,Employees!$B$4:$B$53,""))</x:f>
      </x:c>
      <x:c r="D54" s="34"/>
      <x:c r="E54" s="35" t="n">
        <x:v>8</x:v>
      </x:c>
      <x:c r="F54" s="35"/>
      <x:c r="G54" s="35" t="str">
        <x:f>IF(F54="","",MIN(F54,E54))</x:f>
      </x:c>
      <x:c r="H54" s="35" t="str">
        <x:f>IF(F54="","",MAX(0,F54-E54))</x:f>
      </x:c>
      <x:c r="I54" s="45"/>
      <x:c r="J54" s="34"/>
      <x:c r="K54" s="33" t="str">
        <x:f>IF(A54="","",DATE(YEAR(A54),MONTH(A54),1))</x:f>
      </x:c>
      <x:c r="L54" s="31"/>
      <x:c r="M54" s="31"/>
      <x:c r="N54" s="31"/>
      <x:c r="O54" s="31"/>
    </x:row>
    <x:row r="55">
      <x:c r="A55" s="36"/>
      <x:c r="B55" s="34"/>
      <x:c r="C55" s="34" t="str">
        <x:f>IF(B55="","",XLOOKUP(B55,Employees!$A$4:$A$53,Employees!$B$4:$B$53,""))</x:f>
      </x:c>
      <x:c r="D55" s="34"/>
      <x:c r="E55" s="35" t="n">
        <x:v>8</x:v>
      </x:c>
      <x:c r="F55" s="35"/>
      <x:c r="G55" s="35" t="str">
        <x:f>IF(F55="","",MIN(F55,E55))</x:f>
      </x:c>
      <x:c r="H55" s="35" t="str">
        <x:f>IF(F55="","",MAX(0,F55-E55))</x:f>
      </x:c>
      <x:c r="I55" s="45"/>
      <x:c r="J55" s="34"/>
      <x:c r="K55" s="33" t="str">
        <x:f>IF(A55="","",DATE(YEAR(A55),MONTH(A55),1))</x:f>
      </x:c>
      <x:c r="L55" s="31"/>
      <x:c r="M55" s="31"/>
      <x:c r="N55" s="31"/>
      <x:c r="O55" s="31"/>
    </x:row>
    <x:row r="56">
      <x:c r="A56" s="36"/>
      <x:c r="B56" s="34"/>
      <x:c r="C56" s="34" t="str">
        <x:f>IF(B56="","",XLOOKUP(B56,Employees!$A$4:$A$53,Employees!$B$4:$B$53,""))</x:f>
      </x:c>
      <x:c r="D56" s="34"/>
      <x:c r="E56" s="35" t="n">
        <x:v>8</x:v>
      </x:c>
      <x:c r="F56" s="35"/>
      <x:c r="G56" s="35" t="str">
        <x:f>IF(F56="","",MIN(F56,E56))</x:f>
      </x:c>
      <x:c r="H56" s="35" t="str">
        <x:f>IF(F56="","",MAX(0,F56-E56))</x:f>
      </x:c>
      <x:c r="I56" s="45"/>
      <x:c r="J56" s="34"/>
      <x:c r="K56" s="33" t="str">
        <x:f>IF(A56="","",DATE(YEAR(A56),MONTH(A56),1))</x:f>
      </x:c>
      <x:c r="L56" s="31"/>
      <x:c r="M56" s="31"/>
      <x:c r="N56" s="31"/>
      <x:c r="O56" s="31"/>
    </x:row>
    <x:row r="57">
      <x:c r="A57" s="36"/>
      <x:c r="B57" s="34"/>
      <x:c r="C57" s="34" t="str">
        <x:f>IF(B57="","",XLOOKUP(B57,Employees!$A$4:$A$53,Employees!$B$4:$B$53,""))</x:f>
      </x:c>
      <x:c r="D57" s="34"/>
      <x:c r="E57" s="35" t="n">
        <x:v>8</x:v>
      </x:c>
      <x:c r="F57" s="35"/>
      <x:c r="G57" s="35" t="str">
        <x:f>IF(F57="","",MIN(F57,E57))</x:f>
      </x:c>
      <x:c r="H57" s="35" t="str">
        <x:f>IF(F57="","",MAX(0,F57-E57))</x:f>
      </x:c>
      <x:c r="I57" s="45"/>
      <x:c r="J57" s="34"/>
      <x:c r="K57" s="33" t="str">
        <x:f>IF(A57="","",DATE(YEAR(A57),MONTH(A57),1))</x:f>
      </x:c>
      <x:c r="L57" s="31"/>
      <x:c r="M57" s="31"/>
      <x:c r="N57" s="31"/>
      <x:c r="O57" s="31"/>
    </x:row>
    <x:row r="58">
      <x:c r="A58" s="36"/>
      <x:c r="B58" s="34"/>
      <x:c r="C58" s="34" t="str">
        <x:f>IF(B58="","",XLOOKUP(B58,Employees!$A$4:$A$53,Employees!$B$4:$B$53,""))</x:f>
      </x:c>
      <x:c r="D58" s="34"/>
      <x:c r="E58" s="35" t="n">
        <x:v>8</x:v>
      </x:c>
      <x:c r="F58" s="35"/>
      <x:c r="G58" s="35" t="str">
        <x:f>IF(F58="","",MIN(F58,E58))</x:f>
      </x:c>
      <x:c r="H58" s="35" t="str">
        <x:f>IF(F58="","",MAX(0,F58-E58))</x:f>
      </x:c>
      <x:c r="I58" s="45"/>
      <x:c r="J58" s="34"/>
      <x:c r="K58" s="33" t="str">
        <x:f>IF(A58="","",DATE(YEAR(A58),MONTH(A58),1))</x:f>
      </x:c>
      <x:c r="L58" s="31"/>
      <x:c r="M58" s="31"/>
      <x:c r="N58" s="31"/>
      <x:c r="O58" s="31"/>
    </x:row>
    <x:row r="59">
      <x:c r="A59" s="36"/>
      <x:c r="B59" s="34"/>
      <x:c r="C59" s="34" t="str">
        <x:f>IF(B59="","",XLOOKUP(B59,Employees!$A$4:$A$53,Employees!$B$4:$B$53,""))</x:f>
      </x:c>
      <x:c r="D59" s="34"/>
      <x:c r="E59" s="35" t="n">
        <x:v>8</x:v>
      </x:c>
      <x:c r="F59" s="35"/>
      <x:c r="G59" s="35" t="str">
        <x:f>IF(F59="","",MIN(F59,E59))</x:f>
      </x:c>
      <x:c r="H59" s="35" t="str">
        <x:f>IF(F59="","",MAX(0,F59-E59))</x:f>
      </x:c>
      <x:c r="I59" s="45"/>
      <x:c r="J59" s="34"/>
      <x:c r="K59" s="33" t="str">
        <x:f>IF(A59="","",DATE(YEAR(A59),MONTH(A59),1))</x:f>
      </x:c>
      <x:c r="L59" s="31"/>
      <x:c r="M59" s="31"/>
      <x:c r="N59" s="31"/>
      <x:c r="O59" s="31"/>
    </x:row>
    <x:row r="60">
      <x:c r="A60" s="36"/>
      <x:c r="B60" s="34"/>
      <x:c r="C60" s="34" t="str">
        <x:f>IF(B60="","",XLOOKUP(B60,Employees!$A$4:$A$53,Employees!$B$4:$B$53,""))</x:f>
      </x:c>
      <x:c r="D60" s="34"/>
      <x:c r="E60" s="35" t="n">
        <x:v>8</x:v>
      </x:c>
      <x:c r="F60" s="35"/>
      <x:c r="G60" s="35" t="str">
        <x:f>IF(F60="","",MIN(F60,E60))</x:f>
      </x:c>
      <x:c r="H60" s="35" t="str">
        <x:f>IF(F60="","",MAX(0,F60-E60))</x:f>
      </x:c>
      <x:c r="I60" s="45"/>
      <x:c r="J60" s="34"/>
      <x:c r="K60" s="33" t="str">
        <x:f>IF(A60="","",DATE(YEAR(A60),MONTH(A60),1))</x:f>
      </x:c>
      <x:c r="L60" s="31"/>
      <x:c r="M60" s="31"/>
      <x:c r="N60" s="31"/>
      <x:c r="O60" s="31"/>
    </x:row>
    <x:row r="61">
      <x:c r="A61" s="36"/>
      <x:c r="B61" s="34"/>
      <x:c r="C61" s="34" t="str">
        <x:f>IF(B61="","",XLOOKUP(B61,Employees!$A$4:$A$53,Employees!$B$4:$B$53,""))</x:f>
      </x:c>
      <x:c r="D61" s="34"/>
      <x:c r="E61" s="35" t="n">
        <x:v>8</x:v>
      </x:c>
      <x:c r="F61" s="35"/>
      <x:c r="G61" s="35" t="str">
        <x:f>IF(F61="","",MIN(F61,E61))</x:f>
      </x:c>
      <x:c r="H61" s="35" t="str">
        <x:f>IF(F61="","",MAX(0,F61-E61))</x:f>
      </x:c>
      <x:c r="I61" s="45"/>
      <x:c r="J61" s="34"/>
      <x:c r="K61" s="33" t="str">
        <x:f>IF(A61="","",DATE(YEAR(A61),MONTH(A61),1))</x:f>
      </x:c>
      <x:c r="L61" s="31"/>
      <x:c r="M61" s="31"/>
      <x:c r="N61" s="31"/>
      <x:c r="O61" s="31"/>
    </x:row>
    <x:row r="62">
      <x:c r="A62" s="36"/>
      <x:c r="B62" s="34"/>
      <x:c r="C62" s="34" t="str">
        <x:f>IF(B62="","",XLOOKUP(B62,Employees!$A$4:$A$53,Employees!$B$4:$B$53,""))</x:f>
      </x:c>
      <x:c r="D62" s="34"/>
      <x:c r="E62" s="35" t="n">
        <x:v>8</x:v>
      </x:c>
      <x:c r="F62" s="35"/>
      <x:c r="G62" s="35" t="str">
        <x:f>IF(F62="","",MIN(F62,E62))</x:f>
      </x:c>
      <x:c r="H62" s="35" t="str">
        <x:f>IF(F62="","",MAX(0,F62-E62))</x:f>
      </x:c>
      <x:c r="I62" s="45"/>
      <x:c r="J62" s="34"/>
      <x:c r="K62" s="33" t="str">
        <x:f>IF(A62="","",DATE(YEAR(A62),MONTH(A62),1))</x:f>
      </x:c>
      <x:c r="L62" s="31"/>
      <x:c r="M62" s="31"/>
      <x:c r="N62" s="31"/>
      <x:c r="O62" s="31"/>
    </x:row>
    <x:row r="63">
      <x:c r="A63" s="36"/>
      <x:c r="B63" s="34"/>
      <x:c r="C63" s="34" t="str">
        <x:f>IF(B63="","",XLOOKUP(B63,Employees!$A$4:$A$53,Employees!$B$4:$B$53,""))</x:f>
      </x:c>
      <x:c r="D63" s="34"/>
      <x:c r="E63" s="35" t="n">
        <x:v>8</x:v>
      </x:c>
      <x:c r="F63" s="35"/>
      <x:c r="G63" s="35" t="str">
        <x:f>IF(F63="","",MIN(F63,E63))</x:f>
      </x:c>
      <x:c r="H63" s="35" t="str">
        <x:f>IF(F63="","",MAX(0,F63-E63))</x:f>
      </x:c>
      <x:c r="I63" s="45"/>
      <x:c r="J63" s="34"/>
      <x:c r="K63" s="33" t="str">
        <x:f>IF(A63="","",DATE(YEAR(A63),MONTH(A63),1))</x:f>
      </x:c>
      <x:c r="L63" s="31"/>
      <x:c r="M63" s="31"/>
      <x:c r="N63" s="31"/>
      <x:c r="O63" s="31"/>
    </x:row>
    <x:row r="64">
      <x:c r="A64" s="36"/>
      <x:c r="B64" s="34"/>
      <x:c r="C64" s="34" t="str">
        <x:f>IF(B64="","",XLOOKUP(B64,Employees!$A$4:$A$53,Employees!$B$4:$B$53,""))</x:f>
      </x:c>
      <x:c r="D64" s="34"/>
      <x:c r="E64" s="35" t="n">
        <x:v>8</x:v>
      </x:c>
      <x:c r="F64" s="35"/>
      <x:c r="G64" s="35" t="str">
        <x:f>IF(F64="","",MIN(F64,E64))</x:f>
      </x:c>
      <x:c r="H64" s="35" t="str">
        <x:f>IF(F64="","",MAX(0,F64-E64))</x:f>
      </x:c>
      <x:c r="I64" s="45"/>
      <x:c r="J64" s="34"/>
      <x:c r="K64" s="33" t="str">
        <x:f>IF(A64="","",DATE(YEAR(A64),MONTH(A64),1))</x:f>
      </x:c>
      <x:c r="L64" s="31"/>
      <x:c r="M64" s="31"/>
      <x:c r="N64" s="31"/>
      <x:c r="O64" s="31"/>
    </x:row>
    <x:row r="65">
      <x:c r="A65" s="36"/>
      <x:c r="B65" s="34"/>
      <x:c r="C65" s="34" t="str">
        <x:f>IF(B65="","",XLOOKUP(B65,Employees!$A$4:$A$53,Employees!$B$4:$B$53,""))</x:f>
      </x:c>
      <x:c r="D65" s="34"/>
      <x:c r="E65" s="35" t="n">
        <x:v>8</x:v>
      </x:c>
      <x:c r="F65" s="35"/>
      <x:c r="G65" s="35" t="str">
        <x:f>IF(F65="","",MIN(F65,E65))</x:f>
      </x:c>
      <x:c r="H65" s="35" t="str">
        <x:f>IF(F65="","",MAX(0,F65-E65))</x:f>
      </x:c>
      <x:c r="I65" s="45"/>
      <x:c r="J65" s="34"/>
      <x:c r="K65" s="33" t="str">
        <x:f>IF(A65="","",DATE(YEAR(A65),MONTH(A65),1))</x:f>
      </x:c>
      <x:c r="L65" s="31"/>
      <x:c r="M65" s="31"/>
      <x:c r="N65" s="31"/>
      <x:c r="O65" s="31"/>
    </x:row>
    <x:row r="66">
      <x:c r="A66" s="36"/>
      <x:c r="B66" s="34"/>
      <x:c r="C66" s="34" t="str">
        <x:f>IF(B66="","",XLOOKUP(B66,Employees!$A$4:$A$53,Employees!$B$4:$B$53,""))</x:f>
      </x:c>
      <x:c r="D66" s="34"/>
      <x:c r="E66" s="35" t="n">
        <x:v>8</x:v>
      </x:c>
      <x:c r="F66" s="35"/>
      <x:c r="G66" s="35" t="str">
        <x:f>IF(F66="","",MIN(F66,E66))</x:f>
      </x:c>
      <x:c r="H66" s="35" t="str">
        <x:f>IF(F66="","",MAX(0,F66-E66))</x:f>
      </x:c>
      <x:c r="I66" s="45"/>
      <x:c r="J66" s="34"/>
      <x:c r="K66" s="33" t="str">
        <x:f>IF(A66="","",DATE(YEAR(A66),MONTH(A66),1))</x:f>
      </x:c>
      <x:c r="L66" s="31"/>
      <x:c r="M66" s="31"/>
      <x:c r="N66" s="31"/>
      <x:c r="O66" s="31"/>
    </x:row>
    <x:row r="67">
      <x:c r="A67" s="36"/>
      <x:c r="B67" s="34"/>
      <x:c r="C67" s="34" t="str">
        <x:f>IF(B67="","",XLOOKUP(B67,Employees!$A$4:$A$53,Employees!$B$4:$B$53,""))</x:f>
      </x:c>
      <x:c r="D67" s="34"/>
      <x:c r="E67" s="35" t="n">
        <x:v>8</x:v>
      </x:c>
      <x:c r="F67" s="35"/>
      <x:c r="G67" s="35" t="str">
        <x:f>IF(F67="","",MIN(F67,E67))</x:f>
      </x:c>
      <x:c r="H67" s="35" t="str">
        <x:f>IF(F67="","",MAX(0,F67-E67))</x:f>
      </x:c>
      <x:c r="I67" s="45"/>
      <x:c r="J67" s="34"/>
      <x:c r="K67" s="33" t="str">
        <x:f>IF(A67="","",DATE(YEAR(A67),MONTH(A67),1))</x:f>
      </x:c>
      <x:c r="L67" s="31"/>
      <x:c r="M67" s="31"/>
      <x:c r="N67" s="31"/>
      <x:c r="O67" s="31"/>
    </x:row>
    <x:row r="68">
      <x:c r="A68" s="36"/>
      <x:c r="B68" s="34"/>
      <x:c r="C68" s="34" t="str">
        <x:f>IF(B68="","",XLOOKUP(B68,Employees!$A$4:$A$53,Employees!$B$4:$B$53,""))</x:f>
      </x:c>
      <x:c r="D68" s="34"/>
      <x:c r="E68" s="35" t="n">
        <x:v>8</x:v>
      </x:c>
      <x:c r="F68" s="35"/>
      <x:c r="G68" s="35" t="str">
        <x:f>IF(F68="","",MIN(F68,E68))</x:f>
      </x:c>
      <x:c r="H68" s="35" t="str">
        <x:f>IF(F68="","",MAX(0,F68-E68))</x:f>
      </x:c>
      <x:c r="I68" s="45"/>
      <x:c r="J68" s="34"/>
      <x:c r="K68" s="33" t="str">
        <x:f>IF(A68="","",DATE(YEAR(A68),MONTH(A68),1))</x:f>
      </x:c>
      <x:c r="L68" s="31"/>
      <x:c r="M68" s="31"/>
      <x:c r="N68" s="31"/>
      <x:c r="O68" s="31"/>
    </x:row>
    <x:row r="69">
      <x:c r="A69" s="36"/>
      <x:c r="B69" s="34"/>
      <x:c r="C69" s="34" t="str">
        <x:f>IF(B69="","",XLOOKUP(B69,Employees!$A$4:$A$53,Employees!$B$4:$B$53,""))</x:f>
      </x:c>
      <x:c r="D69" s="34"/>
      <x:c r="E69" s="35" t="n">
        <x:v>8</x:v>
      </x:c>
      <x:c r="F69" s="35"/>
      <x:c r="G69" s="35" t="str">
        <x:f>IF(F69="","",MIN(F69,E69))</x:f>
      </x:c>
      <x:c r="H69" s="35" t="str">
        <x:f>IF(F69="","",MAX(0,F69-E69))</x:f>
      </x:c>
      <x:c r="I69" s="45"/>
      <x:c r="J69" s="34"/>
      <x:c r="K69" s="33" t="str">
        <x:f>IF(A69="","",DATE(YEAR(A69),MONTH(A69),1))</x:f>
      </x:c>
      <x:c r="L69" s="31"/>
      <x:c r="M69" s="31"/>
      <x:c r="N69" s="31"/>
      <x:c r="O69" s="31"/>
    </x:row>
    <x:row r="70">
      <x:c r="A70" s="36"/>
      <x:c r="B70" s="34"/>
      <x:c r="C70" s="34" t="str">
        <x:f>IF(B70="","",XLOOKUP(B70,Employees!$A$4:$A$53,Employees!$B$4:$B$53,""))</x:f>
      </x:c>
      <x:c r="D70" s="34"/>
      <x:c r="E70" s="35" t="n">
        <x:v>8</x:v>
      </x:c>
      <x:c r="F70" s="35"/>
      <x:c r="G70" s="35" t="str">
        <x:f>IF(F70="","",MIN(F70,E70))</x:f>
      </x:c>
      <x:c r="H70" s="35" t="str">
        <x:f>IF(F70="","",MAX(0,F70-E70))</x:f>
      </x:c>
      <x:c r="I70" s="45"/>
      <x:c r="J70" s="34"/>
      <x:c r="K70" s="33" t="str">
        <x:f>IF(A70="","",DATE(YEAR(A70),MONTH(A70),1))</x:f>
      </x:c>
      <x:c r="L70" s="31"/>
      <x:c r="M70" s="31"/>
      <x:c r="N70" s="31"/>
      <x:c r="O70" s="31"/>
    </x:row>
    <x:row r="71">
      <x:c r="A71" s="36"/>
      <x:c r="B71" s="34"/>
      <x:c r="C71" s="34" t="str">
        <x:f>IF(B71="","",XLOOKUP(B71,Employees!$A$4:$A$53,Employees!$B$4:$B$53,""))</x:f>
      </x:c>
      <x:c r="D71" s="34"/>
      <x:c r="E71" s="35" t="n">
        <x:v>8</x:v>
      </x:c>
      <x:c r="F71" s="35"/>
      <x:c r="G71" s="35" t="str">
        <x:f>IF(F71="","",MIN(F71,E71))</x:f>
      </x:c>
      <x:c r="H71" s="35" t="str">
        <x:f>IF(F71="","",MAX(0,F71-E71))</x:f>
      </x:c>
      <x:c r="I71" s="45"/>
      <x:c r="J71" s="34"/>
      <x:c r="K71" s="33" t="str">
        <x:f>IF(A71="","",DATE(YEAR(A71),MONTH(A71),1))</x:f>
      </x:c>
      <x:c r="L71" s="31"/>
      <x:c r="M71" s="31"/>
      <x:c r="N71" s="31"/>
      <x:c r="O71" s="31"/>
    </x:row>
    <x:row r="72">
      <x:c r="A72" s="36"/>
      <x:c r="B72" s="34"/>
      <x:c r="C72" s="34" t="str">
        <x:f>IF(B72="","",XLOOKUP(B72,Employees!$A$4:$A$53,Employees!$B$4:$B$53,""))</x:f>
      </x:c>
      <x:c r="D72" s="34"/>
      <x:c r="E72" s="35" t="n">
        <x:v>8</x:v>
      </x:c>
      <x:c r="F72" s="35"/>
      <x:c r="G72" s="35" t="str">
        <x:f>IF(F72="","",MIN(F72,E72))</x:f>
      </x:c>
      <x:c r="H72" s="35" t="str">
        <x:f>IF(F72="","",MAX(0,F72-E72))</x:f>
      </x:c>
      <x:c r="I72" s="45"/>
      <x:c r="J72" s="34"/>
      <x:c r="K72" s="33" t="str">
        <x:f>IF(A72="","",DATE(YEAR(A72),MONTH(A72),1))</x:f>
      </x:c>
      <x:c r="L72" s="31"/>
      <x:c r="M72" s="31"/>
      <x:c r="N72" s="31"/>
      <x:c r="O72" s="31"/>
    </x:row>
    <x:row r="73">
      <x:c r="A73" s="36"/>
      <x:c r="B73" s="34"/>
      <x:c r="C73" s="34" t="str">
        <x:f>IF(B73="","",XLOOKUP(B73,Employees!$A$4:$A$53,Employees!$B$4:$B$53,""))</x:f>
      </x:c>
      <x:c r="D73" s="34"/>
      <x:c r="E73" s="35" t="n">
        <x:v>8</x:v>
      </x:c>
      <x:c r="F73" s="35"/>
      <x:c r="G73" s="35" t="str">
        <x:f>IF(F73="","",MIN(F73,E73))</x:f>
      </x:c>
      <x:c r="H73" s="35" t="str">
        <x:f>IF(F73="","",MAX(0,F73-E73))</x:f>
      </x:c>
      <x:c r="I73" s="45"/>
      <x:c r="J73" s="34"/>
      <x:c r="K73" s="33" t="str">
        <x:f>IF(A73="","",DATE(YEAR(A73),MONTH(A73),1))</x:f>
      </x:c>
      <x:c r="L73" s="31"/>
      <x:c r="M73" s="31"/>
      <x:c r="N73" s="31"/>
      <x:c r="O73" s="31"/>
    </x:row>
    <x:row r="74">
      <x:c r="A74" s="36"/>
      <x:c r="B74" s="34"/>
      <x:c r="C74" s="34" t="str">
        <x:f>IF(B74="","",XLOOKUP(B74,Employees!$A$4:$A$53,Employees!$B$4:$B$53,""))</x:f>
      </x:c>
      <x:c r="D74" s="34"/>
      <x:c r="E74" s="35" t="n">
        <x:v>8</x:v>
      </x:c>
      <x:c r="F74" s="35"/>
      <x:c r="G74" s="35" t="str">
        <x:f>IF(F74="","",MIN(F74,E74))</x:f>
      </x:c>
      <x:c r="H74" s="35" t="str">
        <x:f>IF(F74="","",MAX(0,F74-E74))</x:f>
      </x:c>
      <x:c r="I74" s="45"/>
      <x:c r="J74" s="34"/>
      <x:c r="K74" s="33" t="str">
        <x:f>IF(A74="","",DATE(YEAR(A74),MONTH(A74),1))</x:f>
      </x:c>
      <x:c r="L74" s="31"/>
      <x:c r="M74" s="31"/>
      <x:c r="N74" s="31"/>
      <x:c r="O74" s="31"/>
    </x:row>
    <x:row r="75">
      <x:c r="A75" s="36"/>
      <x:c r="B75" s="34"/>
      <x:c r="C75" s="34" t="str">
        <x:f>IF(B75="","",XLOOKUP(B75,Employees!$A$4:$A$53,Employees!$B$4:$B$53,""))</x:f>
      </x:c>
      <x:c r="D75" s="34"/>
      <x:c r="E75" s="35" t="n">
        <x:v>8</x:v>
      </x:c>
      <x:c r="F75" s="35"/>
      <x:c r="G75" s="35" t="str">
        <x:f>IF(F75="","",MIN(F75,E75))</x:f>
      </x:c>
      <x:c r="H75" s="35" t="str">
        <x:f>IF(F75="","",MAX(0,F75-E75))</x:f>
      </x:c>
      <x:c r="I75" s="45"/>
      <x:c r="J75" s="34"/>
      <x:c r="K75" s="33" t="str">
        <x:f>IF(A75="","",DATE(YEAR(A75),MONTH(A75),1))</x:f>
      </x:c>
      <x:c r="L75" s="31"/>
      <x:c r="M75" s="31"/>
      <x:c r="N75" s="31"/>
      <x:c r="O75" s="31"/>
    </x:row>
    <x:row r="76">
      <x:c r="A76" s="36"/>
      <x:c r="B76" s="34"/>
      <x:c r="C76" s="34" t="str">
        <x:f>IF(B76="","",XLOOKUP(B76,Employees!$A$4:$A$53,Employees!$B$4:$B$53,""))</x:f>
      </x:c>
      <x:c r="D76" s="34"/>
      <x:c r="E76" s="35" t="n">
        <x:v>8</x:v>
      </x:c>
      <x:c r="F76" s="35"/>
      <x:c r="G76" s="35" t="str">
        <x:f>IF(F76="","",MIN(F76,E76))</x:f>
      </x:c>
      <x:c r="H76" s="35" t="str">
        <x:f>IF(F76="","",MAX(0,F76-E76))</x:f>
      </x:c>
      <x:c r="I76" s="45"/>
      <x:c r="J76" s="34"/>
      <x:c r="K76" s="33" t="str">
        <x:f>IF(A76="","",DATE(YEAR(A76),MONTH(A76),1))</x:f>
      </x:c>
      <x:c r="L76" s="31"/>
      <x:c r="M76" s="31"/>
      <x:c r="N76" s="31"/>
      <x:c r="O76" s="31"/>
    </x:row>
    <x:row r="77">
      <x:c r="A77" s="36"/>
      <x:c r="B77" s="34"/>
      <x:c r="C77" s="34" t="str">
        <x:f>IF(B77="","",XLOOKUP(B77,Employees!$A$4:$A$53,Employees!$B$4:$B$53,""))</x:f>
      </x:c>
      <x:c r="D77" s="34"/>
      <x:c r="E77" s="35" t="n">
        <x:v>8</x:v>
      </x:c>
      <x:c r="F77" s="35"/>
      <x:c r="G77" s="35" t="str">
        <x:f>IF(F77="","",MIN(F77,E77))</x:f>
      </x:c>
      <x:c r="H77" s="35" t="str">
        <x:f>IF(F77="","",MAX(0,F77-E77))</x:f>
      </x:c>
      <x:c r="I77" s="45"/>
      <x:c r="J77" s="34"/>
      <x:c r="K77" s="33" t="str">
        <x:f>IF(A77="","",DATE(YEAR(A77),MONTH(A77),1))</x:f>
      </x:c>
      <x:c r="L77" s="31"/>
      <x:c r="M77" s="31"/>
      <x:c r="N77" s="31"/>
      <x:c r="O77" s="31"/>
    </x:row>
    <x:row r="78">
      <x:c r="A78" s="36"/>
      <x:c r="B78" s="34"/>
      <x:c r="C78" s="34" t="str">
        <x:f>IF(B78="","",XLOOKUP(B78,Employees!$A$4:$A$53,Employees!$B$4:$B$53,""))</x:f>
      </x:c>
      <x:c r="D78" s="34"/>
      <x:c r="E78" s="35" t="n">
        <x:v>8</x:v>
      </x:c>
      <x:c r="F78" s="35"/>
      <x:c r="G78" s="35" t="str">
        <x:f>IF(F78="","",MIN(F78,E78))</x:f>
      </x:c>
      <x:c r="H78" s="35" t="str">
        <x:f>IF(F78="","",MAX(0,F78-E78))</x:f>
      </x:c>
      <x:c r="I78" s="45"/>
      <x:c r="J78" s="34"/>
      <x:c r="K78" s="33" t="str">
        <x:f>IF(A78="","",DATE(YEAR(A78),MONTH(A78),1))</x:f>
      </x:c>
      <x:c r="L78" s="31"/>
      <x:c r="M78" s="31"/>
      <x:c r="N78" s="31"/>
      <x:c r="O78" s="31"/>
    </x:row>
    <x:row r="79">
      <x:c r="A79" s="36"/>
      <x:c r="B79" s="34"/>
      <x:c r="C79" s="34" t="str">
        <x:f>IF(B79="","",XLOOKUP(B79,Employees!$A$4:$A$53,Employees!$B$4:$B$53,""))</x:f>
      </x:c>
      <x:c r="D79" s="34"/>
      <x:c r="E79" s="35" t="n">
        <x:v>8</x:v>
      </x:c>
      <x:c r="F79" s="35"/>
      <x:c r="G79" s="35" t="str">
        <x:f>IF(F79="","",MIN(F79,E79))</x:f>
      </x:c>
      <x:c r="H79" s="35" t="str">
        <x:f>IF(F79="","",MAX(0,F79-E79))</x:f>
      </x:c>
      <x:c r="I79" s="45"/>
      <x:c r="J79" s="34"/>
      <x:c r="K79" s="33" t="str">
        <x:f>IF(A79="","",DATE(YEAR(A79),MONTH(A79),1))</x:f>
      </x:c>
      <x:c r="L79" s="31"/>
      <x:c r="M79" s="31"/>
      <x:c r="N79" s="31"/>
      <x:c r="O79" s="31"/>
    </x:row>
    <x:row r="80">
      <x:c r="A80" s="36"/>
      <x:c r="B80" s="34"/>
      <x:c r="C80" s="34" t="str">
        <x:f>IF(B80="","",XLOOKUP(B80,Employees!$A$4:$A$53,Employees!$B$4:$B$53,""))</x:f>
      </x:c>
      <x:c r="D80" s="34"/>
      <x:c r="E80" s="35" t="n">
        <x:v>8</x:v>
      </x:c>
      <x:c r="F80" s="35"/>
      <x:c r="G80" s="35" t="str">
        <x:f>IF(F80="","",MIN(F80,E80))</x:f>
      </x:c>
      <x:c r="H80" s="35" t="str">
        <x:f>IF(F80="","",MAX(0,F80-E80))</x:f>
      </x:c>
      <x:c r="I80" s="45"/>
      <x:c r="J80" s="34"/>
      <x:c r="K80" s="33" t="str">
        <x:f>IF(A80="","",DATE(YEAR(A80),MONTH(A80),1))</x:f>
      </x:c>
      <x:c r="L80" s="31"/>
      <x:c r="M80" s="31"/>
      <x:c r="N80" s="31"/>
      <x:c r="O80" s="31"/>
    </x:row>
    <x:row r="81">
      <x:c r="A81" s="9"/>
      <x:c r="B81" s="7"/>
      <x:c r="C81" s="7" t="str">
        <x:f>IF(B81="","",XLOOKUP(B81,Employees!$A$4:$A$53,Employees!$B$4:$B$53,""))</x:f>
      </x:c>
      <x:c r="D81" s="7"/>
      <x:c r="E81" s="10" t="n">
        <x:v>8</x:v>
      </x:c>
      <x:c r="F81" s="10"/>
      <x:c r="G81" s="10" t="str">
        <x:f>IF(F81="","",MIN(F81,E81))</x:f>
      </x:c>
      <x:c r="H81" s="10" t="str">
        <x:f>IF(F81="","",MAX(0,F81-E81))</x:f>
      </x:c>
      <x:c r="I81" s="24"/>
      <x:c r="J81" s="7"/>
      <x:c r="K81" s="8" t="str">
        <x:f>IF(A81="","",DATE(YEAR(A81),MONTH(A81),1))</x:f>
      </x:c>
    </x:row>
    <x:row r="82">
      <x:c r="A82" s="9"/>
      <x:c r="B82" s="7"/>
      <x:c r="C82" s="7" t="str">
        <x:f>IF(B82="","",XLOOKUP(B82,Employees!$A$4:$A$53,Employees!$B$4:$B$53,""))</x:f>
      </x:c>
      <x:c r="D82" s="7"/>
      <x:c r="E82" s="10" t="n">
        <x:v>8</x:v>
      </x:c>
      <x:c r="F82" s="10"/>
      <x:c r="G82" s="10" t="str">
        <x:f>IF(F82="","",MIN(F82,E82))</x:f>
      </x:c>
      <x:c r="H82" s="10" t="str">
        <x:f>IF(F82="","",MAX(0,F82-E82))</x:f>
      </x:c>
      <x:c r="I82" s="24"/>
      <x:c r="J82" s="7"/>
      <x:c r="K82" s="8" t="str">
        <x:f>IF(A82="","",DATE(YEAR(A82),MONTH(A82),1))</x:f>
      </x:c>
    </x:row>
    <x:row r="83">
      <x:c r="A83" s="9"/>
      <x:c r="B83" s="7"/>
      <x:c r="C83" s="7" t="str">
        <x:f>IF(B83="","",XLOOKUP(B83,Employees!$A$4:$A$53,Employees!$B$4:$B$53,""))</x:f>
      </x:c>
      <x:c r="D83" s="7"/>
      <x:c r="E83" s="10" t="n">
        <x:v>8</x:v>
      </x:c>
      <x:c r="F83" s="10"/>
      <x:c r="G83" s="10" t="str">
        <x:f>IF(F83="","",MIN(F83,E83))</x:f>
      </x:c>
      <x:c r="H83" s="10" t="str">
        <x:f>IF(F83="","",MAX(0,F83-E83))</x:f>
      </x:c>
      <x:c r="I83" s="24"/>
      <x:c r="J83" s="7"/>
      <x:c r="K83" s="8" t="str">
        <x:f>IF(A83="","",DATE(YEAR(A83),MONTH(A83),1))</x:f>
      </x:c>
    </x:row>
    <x:row r="84">
      <x:c r="A84" s="9"/>
      <x:c r="B84" s="7"/>
      <x:c r="C84" s="7" t="str">
        <x:f>IF(B84="","",XLOOKUP(B84,Employees!$A$4:$A$53,Employees!$B$4:$B$53,""))</x:f>
      </x:c>
      <x:c r="D84" s="7"/>
      <x:c r="E84" s="10" t="n">
        <x:v>8</x:v>
      </x:c>
      <x:c r="F84" s="10"/>
      <x:c r="G84" s="10" t="str">
        <x:f>IF(F84="","",MIN(F84,E84))</x:f>
      </x:c>
      <x:c r="H84" s="10" t="str">
        <x:f>IF(F84="","",MAX(0,F84-E84))</x:f>
      </x:c>
      <x:c r="I84" s="24"/>
      <x:c r="J84" s="7"/>
      <x:c r="K84" s="8" t="str">
        <x:f>IF(A84="","",DATE(YEAR(A84),MONTH(A84),1))</x:f>
      </x:c>
    </x:row>
    <x:row r="85">
      <x:c r="A85" s="9"/>
      <x:c r="B85" s="7"/>
      <x:c r="C85" s="7" t="str">
        <x:f>IF(B85="","",XLOOKUP(B85,Employees!$A$4:$A$53,Employees!$B$4:$B$53,""))</x:f>
      </x:c>
      <x:c r="D85" s="7"/>
      <x:c r="E85" s="10" t="n">
        <x:v>8</x:v>
      </x:c>
      <x:c r="F85" s="10"/>
      <x:c r="G85" s="10" t="str">
        <x:f>IF(F85="","",MIN(F85,E85))</x:f>
      </x:c>
      <x:c r="H85" s="10" t="str">
        <x:f>IF(F85="","",MAX(0,F85-E85))</x:f>
      </x:c>
      <x:c r="I85" s="24"/>
      <x:c r="J85" s="7"/>
      <x:c r="K85" s="8" t="str">
        <x:f>IF(A85="","",DATE(YEAR(A85),MONTH(A85),1))</x:f>
      </x:c>
    </x:row>
    <x:row r="86">
      <x:c r="A86" s="9"/>
      <x:c r="B86" s="7"/>
      <x:c r="C86" s="7" t="str">
        <x:f>IF(B86="","",XLOOKUP(B86,Employees!$A$4:$A$53,Employees!$B$4:$B$53,""))</x:f>
      </x:c>
      <x:c r="D86" s="7"/>
      <x:c r="E86" s="10" t="n">
        <x:v>8</x:v>
      </x:c>
      <x:c r="F86" s="10"/>
      <x:c r="G86" s="10" t="str">
        <x:f>IF(F86="","",MIN(F86,E86))</x:f>
      </x:c>
      <x:c r="H86" s="10" t="str">
        <x:f>IF(F86="","",MAX(0,F86-E86))</x:f>
      </x:c>
      <x:c r="I86" s="24"/>
      <x:c r="J86" s="7"/>
      <x:c r="K86" s="8" t="str">
        <x:f>IF(A86="","",DATE(YEAR(A86),MONTH(A86),1))</x:f>
      </x:c>
    </x:row>
    <x:row r="87">
      <x:c r="A87" s="9"/>
      <x:c r="B87" s="7"/>
      <x:c r="C87" s="7" t="str">
        <x:f>IF(B87="","",XLOOKUP(B87,Employees!$A$4:$A$53,Employees!$B$4:$B$53,""))</x:f>
      </x:c>
      <x:c r="D87" s="7"/>
      <x:c r="E87" s="10" t="n">
        <x:v>8</x:v>
      </x:c>
      <x:c r="F87" s="10"/>
      <x:c r="G87" s="10" t="str">
        <x:f>IF(F87="","",MIN(F87,E87))</x:f>
      </x:c>
      <x:c r="H87" s="10" t="str">
        <x:f>IF(F87="","",MAX(0,F87-E87))</x:f>
      </x:c>
      <x:c r="I87" s="24"/>
      <x:c r="J87" s="7"/>
      <x:c r="K87" s="8" t="str">
        <x:f>IF(A87="","",DATE(YEAR(A87),MONTH(A87),1))</x:f>
      </x:c>
    </x:row>
    <x:row r="88">
      <x:c r="A88" s="9"/>
      <x:c r="B88" s="7"/>
      <x:c r="C88" s="7" t="str">
        <x:f>IF(B88="","",XLOOKUP(B88,Employees!$A$4:$A$53,Employees!$B$4:$B$53,""))</x:f>
      </x:c>
      <x:c r="D88" s="7"/>
      <x:c r="E88" s="10" t="n">
        <x:v>8</x:v>
      </x:c>
      <x:c r="F88" s="10"/>
      <x:c r="G88" s="10" t="str">
        <x:f>IF(F88="","",MIN(F88,E88))</x:f>
      </x:c>
      <x:c r="H88" s="10" t="str">
        <x:f>IF(F88="","",MAX(0,F88-E88))</x:f>
      </x:c>
      <x:c r="I88" s="24"/>
      <x:c r="J88" s="7"/>
      <x:c r="K88" s="8" t="str">
        <x:f>IF(A88="","",DATE(YEAR(A88),MONTH(A88),1))</x:f>
      </x:c>
    </x:row>
    <x:row r="89">
      <x:c r="A89" s="9"/>
      <x:c r="B89" s="7"/>
      <x:c r="C89" s="7" t="str">
        <x:f>IF(B89="","",XLOOKUP(B89,Employees!$A$4:$A$53,Employees!$B$4:$B$53,""))</x:f>
      </x:c>
      <x:c r="D89" s="7"/>
      <x:c r="E89" s="10" t="n">
        <x:v>8</x:v>
      </x:c>
      <x:c r="F89" s="10"/>
      <x:c r="G89" s="10" t="str">
        <x:f>IF(F89="","",MIN(F89,E89))</x:f>
      </x:c>
      <x:c r="H89" s="10" t="str">
        <x:f>IF(F89="","",MAX(0,F89-E89))</x:f>
      </x:c>
      <x:c r="I89" s="24"/>
      <x:c r="J89" s="7"/>
      <x:c r="K89" s="8" t="str">
        <x:f>IF(A89="","",DATE(YEAR(A89),MONTH(A89),1))</x:f>
      </x:c>
    </x:row>
    <x:row r="90">
      <x:c r="A90" s="9"/>
      <x:c r="B90" s="7"/>
      <x:c r="C90" s="7" t="str">
        <x:f>IF(B90="","",XLOOKUP(B90,Employees!$A$4:$A$53,Employees!$B$4:$B$53,""))</x:f>
      </x:c>
      <x:c r="D90" s="7"/>
      <x:c r="E90" s="10" t="n">
        <x:v>8</x:v>
      </x:c>
      <x:c r="F90" s="10"/>
      <x:c r="G90" s="10" t="str">
        <x:f>IF(F90="","",MIN(F90,E90))</x:f>
      </x:c>
      <x:c r="H90" s="10" t="str">
        <x:f>IF(F90="","",MAX(0,F90-E90))</x:f>
      </x:c>
      <x:c r="I90" s="24"/>
      <x:c r="J90" s="7"/>
      <x:c r="K90" s="8" t="str">
        <x:f>IF(A90="","",DATE(YEAR(A90),MONTH(A90),1))</x:f>
      </x:c>
    </x:row>
    <x:row r="91">
      <x:c r="A91" s="9"/>
      <x:c r="B91" s="7"/>
      <x:c r="C91" s="7" t="str">
        <x:f>IF(B91="","",XLOOKUP(B91,Employees!$A$4:$A$53,Employees!$B$4:$B$53,""))</x:f>
      </x:c>
      <x:c r="D91" s="7"/>
      <x:c r="E91" s="10" t="n">
        <x:v>8</x:v>
      </x:c>
      <x:c r="F91" s="10"/>
      <x:c r="G91" s="10" t="str">
        <x:f>IF(F91="","",MIN(F91,E91))</x:f>
      </x:c>
      <x:c r="H91" s="10" t="str">
        <x:f>IF(F91="","",MAX(0,F91-E91))</x:f>
      </x:c>
      <x:c r="I91" s="24"/>
      <x:c r="J91" s="7"/>
      <x:c r="K91" s="8" t="str">
        <x:f>IF(A91="","",DATE(YEAR(A91),MONTH(A91),1))</x:f>
      </x:c>
    </x:row>
    <x:row r="92">
      <x:c r="A92" s="9"/>
      <x:c r="B92" s="7"/>
      <x:c r="C92" s="7" t="str">
        <x:f>IF(B92="","",XLOOKUP(B92,Employees!$A$4:$A$53,Employees!$B$4:$B$53,""))</x:f>
      </x:c>
      <x:c r="D92" s="7"/>
      <x:c r="E92" s="10" t="n">
        <x:v>8</x:v>
      </x:c>
      <x:c r="F92" s="10"/>
      <x:c r="G92" s="10" t="str">
        <x:f>IF(F92="","",MIN(F92,E92))</x:f>
      </x:c>
      <x:c r="H92" s="10" t="str">
        <x:f>IF(F92="","",MAX(0,F92-E92))</x:f>
      </x:c>
      <x:c r="I92" s="24"/>
      <x:c r="J92" s="7"/>
      <x:c r="K92" s="8" t="str">
        <x:f>IF(A92="","",DATE(YEAR(A92),MONTH(A92),1))</x:f>
      </x:c>
    </x:row>
    <x:row r="93">
      <x:c r="A93" s="9"/>
      <x:c r="B93" s="7"/>
      <x:c r="C93" s="7" t="str">
        <x:f>IF(B93="","",XLOOKUP(B93,Employees!$A$4:$A$53,Employees!$B$4:$B$53,""))</x:f>
      </x:c>
      <x:c r="D93" s="7"/>
      <x:c r="E93" s="10" t="n">
        <x:v>8</x:v>
      </x:c>
      <x:c r="F93" s="10"/>
      <x:c r="G93" s="10" t="str">
        <x:f>IF(F93="","",MIN(F93,E93))</x:f>
      </x:c>
      <x:c r="H93" s="10" t="str">
        <x:f>IF(F93="","",MAX(0,F93-E93))</x:f>
      </x:c>
      <x:c r="I93" s="24"/>
      <x:c r="J93" s="7"/>
      <x:c r="K93" s="8" t="str">
        <x:f>IF(A93="","",DATE(YEAR(A93),MONTH(A93),1))</x:f>
      </x:c>
    </x:row>
    <x:row r="94">
      <x:c r="A94" s="9"/>
      <x:c r="B94" s="7"/>
      <x:c r="C94" s="7" t="str">
        <x:f>IF(B94="","",XLOOKUP(B94,Employees!$A$4:$A$53,Employees!$B$4:$B$53,""))</x:f>
      </x:c>
      <x:c r="D94" s="7"/>
      <x:c r="E94" s="10" t="n">
        <x:v>8</x:v>
      </x:c>
      <x:c r="F94" s="10"/>
      <x:c r="G94" s="10" t="str">
        <x:f>IF(F94="","",MIN(F94,E94))</x:f>
      </x:c>
      <x:c r="H94" s="10" t="str">
        <x:f>IF(F94="","",MAX(0,F94-E94))</x:f>
      </x:c>
      <x:c r="I94" s="24"/>
      <x:c r="J94" s="7"/>
      <x:c r="K94" s="8" t="str">
        <x:f>IF(A94="","",DATE(YEAR(A94),MONTH(A94),1))</x:f>
      </x:c>
    </x:row>
    <x:row r="95">
      <x:c r="A95" s="9"/>
      <x:c r="B95" s="7"/>
      <x:c r="C95" s="7" t="str">
        <x:f>IF(B95="","",XLOOKUP(B95,Employees!$A$4:$A$53,Employees!$B$4:$B$53,""))</x:f>
      </x:c>
      <x:c r="D95" s="7"/>
      <x:c r="E95" s="10" t="n">
        <x:v>8</x:v>
      </x:c>
      <x:c r="F95" s="10"/>
      <x:c r="G95" s="10" t="str">
        <x:f>IF(F95="","",MIN(F95,E95))</x:f>
      </x:c>
      <x:c r="H95" s="10" t="str">
        <x:f>IF(F95="","",MAX(0,F95-E95))</x:f>
      </x:c>
      <x:c r="I95" s="24"/>
      <x:c r="J95" s="7"/>
      <x:c r="K95" s="8" t="str">
        <x:f>IF(A95="","",DATE(YEAR(A95),MONTH(A95),1))</x:f>
      </x:c>
    </x:row>
    <x:row r="96">
      <x:c r="A96" s="9"/>
      <x:c r="B96" s="7"/>
      <x:c r="C96" s="7" t="str">
        <x:f>IF(B96="","",XLOOKUP(B96,Employees!$A$4:$A$53,Employees!$B$4:$B$53,""))</x:f>
      </x:c>
      <x:c r="D96" s="7"/>
      <x:c r="E96" s="10" t="n">
        <x:v>8</x:v>
      </x:c>
      <x:c r="F96" s="10"/>
      <x:c r="G96" s="10" t="str">
        <x:f>IF(F96="","",MIN(F96,E96))</x:f>
      </x:c>
      <x:c r="H96" s="10" t="str">
        <x:f>IF(F96="","",MAX(0,F96-E96))</x:f>
      </x:c>
      <x:c r="I96" s="24"/>
      <x:c r="J96" s="7"/>
      <x:c r="K96" s="8" t="str">
        <x:f>IF(A96="","",DATE(YEAR(A96),MONTH(A96),1))</x:f>
      </x:c>
    </x:row>
    <x:row r="97">
      <x:c r="A97" s="9"/>
      <x:c r="B97" s="7"/>
      <x:c r="C97" s="7" t="str">
        <x:f>IF(B97="","",XLOOKUP(B97,Employees!$A$4:$A$53,Employees!$B$4:$B$53,""))</x:f>
      </x:c>
      <x:c r="D97" s="7"/>
      <x:c r="E97" s="10" t="n">
        <x:v>8</x:v>
      </x:c>
      <x:c r="F97" s="10"/>
      <x:c r="G97" s="10" t="str">
        <x:f>IF(F97="","",MIN(F97,E97))</x:f>
      </x:c>
      <x:c r="H97" s="10" t="str">
        <x:f>IF(F97="","",MAX(0,F97-E97))</x:f>
      </x:c>
      <x:c r="I97" s="24"/>
      <x:c r="J97" s="7"/>
      <x:c r="K97" s="8" t="str">
        <x:f>IF(A97="","",DATE(YEAR(A97),MONTH(A97),1))</x:f>
      </x:c>
    </x:row>
    <x:row r="98">
      <x:c r="A98" s="9"/>
      <x:c r="B98" s="7"/>
      <x:c r="C98" s="7" t="str">
        <x:f>IF(B98="","",XLOOKUP(B98,Employees!$A$4:$A$53,Employees!$B$4:$B$53,""))</x:f>
      </x:c>
      <x:c r="D98" s="7"/>
      <x:c r="E98" s="10" t="n">
        <x:v>8</x:v>
      </x:c>
      <x:c r="F98" s="10"/>
      <x:c r="G98" s="10" t="str">
        <x:f>IF(F98="","",MIN(F98,E98))</x:f>
      </x:c>
      <x:c r="H98" s="10" t="str">
        <x:f>IF(F98="","",MAX(0,F98-E98))</x:f>
      </x:c>
      <x:c r="I98" s="24"/>
      <x:c r="J98" s="7"/>
      <x:c r="K98" s="8" t="str">
        <x:f>IF(A98="","",DATE(YEAR(A98),MONTH(A98),1))</x:f>
      </x:c>
    </x:row>
    <x:row r="99">
      <x:c r="A99" s="9"/>
      <x:c r="B99" s="7"/>
      <x:c r="C99" s="7" t="str">
        <x:f>IF(B99="","",XLOOKUP(B99,Employees!$A$4:$A$53,Employees!$B$4:$B$53,""))</x:f>
      </x:c>
      <x:c r="D99" s="7"/>
      <x:c r="E99" s="10" t="n">
        <x:v>8</x:v>
      </x:c>
      <x:c r="F99" s="10"/>
      <x:c r="G99" s="10" t="str">
        <x:f>IF(F99="","",MIN(F99,E99))</x:f>
      </x:c>
      <x:c r="H99" s="10" t="str">
        <x:f>IF(F99="","",MAX(0,F99-E99))</x:f>
      </x:c>
      <x:c r="I99" s="24"/>
      <x:c r="J99" s="7"/>
      <x:c r="K99" s="8" t="str">
        <x:f>IF(A99="","",DATE(YEAR(A99),MONTH(A99),1))</x:f>
      </x:c>
    </x:row>
    <x:row r="100">
      <x:c r="A100" s="9"/>
      <x:c r="B100" s="7"/>
      <x:c r="C100" s="7" t="str">
        <x:f>IF(B100="","",XLOOKUP(B100,Employees!$A$4:$A$53,Employees!$B$4:$B$53,""))</x:f>
      </x:c>
      <x:c r="D100" s="7"/>
      <x:c r="E100" s="10" t="n">
        <x:v>8</x:v>
      </x:c>
      <x:c r="F100" s="10"/>
      <x:c r="G100" s="10" t="str">
        <x:f>IF(F100="","",MIN(F100,E100))</x:f>
      </x:c>
      <x:c r="H100" s="10" t="str">
        <x:f>IF(F100="","",MAX(0,F100-E100))</x:f>
      </x:c>
      <x:c r="I100" s="24"/>
      <x:c r="J100" s="7"/>
      <x:c r="K100" s="8" t="str">
        <x:f>IF(A100="","",DATE(YEAR(A100),MONTH(A100),1))</x:f>
      </x:c>
    </x:row>
    <x:row r="101">
      <x:c r="A101" s="9"/>
      <x:c r="B101" s="7"/>
      <x:c r="C101" s="7" t="str">
        <x:f>IF(B101="","",XLOOKUP(B101,Employees!$A$4:$A$53,Employees!$B$4:$B$53,""))</x:f>
      </x:c>
      <x:c r="D101" s="7"/>
      <x:c r="E101" s="10" t="n">
        <x:v>8</x:v>
      </x:c>
      <x:c r="F101" s="10"/>
      <x:c r="G101" s="10" t="str">
        <x:f>IF(F101="","",MIN(F101,E101))</x:f>
      </x:c>
      <x:c r="H101" s="10" t="str">
        <x:f>IF(F101="","",MAX(0,F101-E101))</x:f>
      </x:c>
      <x:c r="I101" s="24"/>
      <x:c r="J101" s="7"/>
      <x:c r="K101" s="8" t="str">
        <x:f>IF(A101="","",DATE(YEAR(A101),MONTH(A101),1))</x:f>
      </x:c>
    </x:row>
    <x:row r="102">
      <x:c r="A102" s="9"/>
      <x:c r="B102" s="7"/>
      <x:c r="C102" s="7" t="str">
        <x:f>IF(B102="","",XLOOKUP(B102,Employees!$A$4:$A$53,Employees!$B$4:$B$53,""))</x:f>
      </x:c>
      <x:c r="D102" s="7"/>
      <x:c r="E102" s="10" t="n">
        <x:v>8</x:v>
      </x:c>
      <x:c r="F102" s="10"/>
      <x:c r="G102" s="10" t="str">
        <x:f>IF(F102="","",MIN(F102,E102))</x:f>
      </x:c>
      <x:c r="H102" s="10" t="str">
        <x:f>IF(F102="","",MAX(0,F102-E102))</x:f>
      </x:c>
      <x:c r="I102" s="24"/>
      <x:c r="J102" s="7"/>
      <x:c r="K102" s="8" t="str">
        <x:f>IF(A102="","",DATE(YEAR(A102),MONTH(A102),1))</x:f>
      </x:c>
    </x:row>
    <x:row r="103">
      <x:c r="A103" s="9"/>
      <x:c r="B103" s="7"/>
      <x:c r="C103" s="7" t="str">
        <x:f>IF(B103="","",XLOOKUP(B103,Employees!$A$4:$A$53,Employees!$B$4:$B$53,""))</x:f>
      </x:c>
      <x:c r="D103" s="7"/>
      <x:c r="E103" s="10" t="n">
        <x:v>8</x:v>
      </x:c>
      <x:c r="F103" s="10"/>
      <x:c r="G103" s="10" t="str">
        <x:f>IF(F103="","",MIN(F103,E103))</x:f>
      </x:c>
      <x:c r="H103" s="10" t="str">
        <x:f>IF(F103="","",MAX(0,F103-E103))</x:f>
      </x:c>
      <x:c r="I103" s="24"/>
      <x:c r="J103" s="7"/>
      <x:c r="K103" s="8" t="str">
        <x:f>IF(A103="","",DATE(YEAR(A103),MONTH(A103),1))</x:f>
      </x:c>
    </x:row>
    <x:row r="104">
      <x:c r="A104" s="9"/>
      <x:c r="B104" s="7"/>
      <x:c r="C104" s="7" t="str">
        <x:f>IF(B104="","",XLOOKUP(B104,Employees!$A$4:$A$53,Employees!$B$4:$B$53,""))</x:f>
      </x:c>
      <x:c r="D104" s="7"/>
      <x:c r="E104" s="10" t="n">
        <x:v>8</x:v>
      </x:c>
      <x:c r="F104" s="10"/>
      <x:c r="G104" s="10" t="str">
        <x:f>IF(F104="","",MIN(F104,E104))</x:f>
      </x:c>
      <x:c r="H104" s="10" t="str">
        <x:f>IF(F104="","",MAX(0,F104-E104))</x:f>
      </x:c>
      <x:c r="I104" s="24"/>
      <x:c r="J104" s="7"/>
      <x:c r="K104" s="8" t="str">
        <x:f>IF(A104="","",DATE(YEAR(A104),MONTH(A104),1))</x:f>
      </x:c>
    </x:row>
    <x:row r="105">
      <x:c r="A105" s="9"/>
      <x:c r="B105" s="7"/>
      <x:c r="C105" s="7" t="str">
        <x:f>IF(B105="","",XLOOKUP(B105,Employees!$A$4:$A$53,Employees!$B$4:$B$53,""))</x:f>
      </x:c>
      <x:c r="D105" s="7"/>
      <x:c r="E105" s="10" t="n">
        <x:v>8</x:v>
      </x:c>
      <x:c r="F105" s="10"/>
      <x:c r="G105" s="10" t="str">
        <x:f>IF(F105="","",MIN(F105,E105))</x:f>
      </x:c>
      <x:c r="H105" s="10" t="str">
        <x:f>IF(F105="","",MAX(0,F105-E105))</x:f>
      </x:c>
      <x:c r="I105" s="24"/>
      <x:c r="J105" s="7"/>
      <x:c r="K105" s="8" t="str">
        <x:f>IF(A105="","",DATE(YEAR(A105),MONTH(A105),1))</x:f>
      </x:c>
    </x:row>
    <x:row r="106">
      <x:c r="A106" s="9"/>
      <x:c r="B106" s="7"/>
      <x:c r="C106" s="7" t="str">
        <x:f>IF(B106="","",XLOOKUP(B106,Employees!$A$4:$A$53,Employees!$B$4:$B$53,""))</x:f>
      </x:c>
      <x:c r="D106" s="7"/>
      <x:c r="E106" s="10" t="n">
        <x:v>8</x:v>
      </x:c>
      <x:c r="F106" s="10"/>
      <x:c r="G106" s="10" t="str">
        <x:f>IF(F106="","",MIN(F106,E106))</x:f>
      </x:c>
      <x:c r="H106" s="10" t="str">
        <x:f>IF(F106="","",MAX(0,F106-E106))</x:f>
      </x:c>
      <x:c r="I106" s="24"/>
      <x:c r="J106" s="7"/>
      <x:c r="K106" s="8" t="str">
        <x:f>IF(A106="","",DATE(YEAR(A106),MONTH(A106),1))</x:f>
      </x:c>
    </x:row>
    <x:row r="107">
      <x:c r="A107" s="9"/>
      <x:c r="B107" s="7"/>
      <x:c r="C107" s="7" t="str">
        <x:f>IF(B107="","",XLOOKUP(B107,Employees!$A$4:$A$53,Employees!$B$4:$B$53,""))</x:f>
      </x:c>
      <x:c r="D107" s="7"/>
      <x:c r="E107" s="10" t="n">
        <x:v>8</x:v>
      </x:c>
      <x:c r="F107" s="10"/>
      <x:c r="G107" s="10" t="str">
        <x:f>IF(F107="","",MIN(F107,E107))</x:f>
      </x:c>
      <x:c r="H107" s="10" t="str">
        <x:f>IF(F107="","",MAX(0,F107-E107))</x:f>
      </x:c>
      <x:c r="I107" s="24"/>
      <x:c r="J107" s="7"/>
      <x:c r="K107" s="8" t="str">
        <x:f>IF(A107="","",DATE(YEAR(A107),MONTH(A107),1))</x:f>
      </x:c>
    </x:row>
    <x:row r="108">
      <x:c r="A108" s="9"/>
      <x:c r="B108" s="7"/>
      <x:c r="C108" s="7" t="str">
        <x:f>IF(B108="","",XLOOKUP(B108,Employees!$A$4:$A$53,Employees!$B$4:$B$53,""))</x:f>
      </x:c>
      <x:c r="D108" s="7"/>
      <x:c r="E108" s="10" t="n">
        <x:v>8</x:v>
      </x:c>
      <x:c r="F108" s="10"/>
      <x:c r="G108" s="10" t="str">
        <x:f>IF(F108="","",MIN(F108,E108))</x:f>
      </x:c>
      <x:c r="H108" s="10" t="str">
        <x:f>IF(F108="","",MAX(0,F108-E108))</x:f>
      </x:c>
      <x:c r="I108" s="24"/>
      <x:c r="J108" s="7"/>
      <x:c r="K108" s="8" t="str">
        <x:f>IF(A108="","",DATE(YEAR(A108),MONTH(A108),1))</x:f>
      </x:c>
    </x:row>
    <x:row r="109">
      <x:c r="A109" s="9"/>
      <x:c r="B109" s="7"/>
      <x:c r="C109" s="7" t="str">
        <x:f>IF(B109="","",XLOOKUP(B109,Employees!$A$4:$A$53,Employees!$B$4:$B$53,""))</x:f>
      </x:c>
      <x:c r="D109" s="7"/>
      <x:c r="E109" s="10" t="n">
        <x:v>8</x:v>
      </x:c>
      <x:c r="F109" s="10"/>
      <x:c r="G109" s="10" t="str">
        <x:f>IF(F109="","",MIN(F109,E109))</x:f>
      </x:c>
      <x:c r="H109" s="10" t="str">
        <x:f>IF(F109="","",MAX(0,F109-E109))</x:f>
      </x:c>
      <x:c r="I109" s="24"/>
      <x:c r="J109" s="7"/>
      <x:c r="K109" s="8" t="str">
        <x:f>IF(A109="","",DATE(YEAR(A109),MONTH(A109),1))</x:f>
      </x:c>
    </x:row>
    <x:row r="110">
      <x:c r="A110" s="9"/>
      <x:c r="B110" s="7"/>
      <x:c r="C110" s="7" t="str">
        <x:f>IF(B110="","",XLOOKUP(B110,Employees!$A$4:$A$53,Employees!$B$4:$B$53,""))</x:f>
      </x:c>
      <x:c r="D110" s="7"/>
      <x:c r="E110" s="10" t="n">
        <x:v>8</x:v>
      </x:c>
      <x:c r="F110" s="10"/>
      <x:c r="G110" s="10" t="str">
        <x:f>IF(F110="","",MIN(F110,E110))</x:f>
      </x:c>
      <x:c r="H110" s="10" t="str">
        <x:f>IF(F110="","",MAX(0,F110-E110))</x:f>
      </x:c>
      <x:c r="I110" s="24"/>
      <x:c r="J110" s="7"/>
      <x:c r="K110" s="8" t="str">
        <x:f>IF(A110="","",DATE(YEAR(A110),MONTH(A110),1))</x:f>
      </x:c>
    </x:row>
    <x:row r="111">
      <x:c r="A111" s="9"/>
      <x:c r="B111" s="7"/>
      <x:c r="C111" s="7" t="str">
        <x:f>IF(B111="","",XLOOKUP(B111,Employees!$A$4:$A$53,Employees!$B$4:$B$53,""))</x:f>
      </x:c>
      <x:c r="D111" s="7"/>
      <x:c r="E111" s="10" t="n">
        <x:v>8</x:v>
      </x:c>
      <x:c r="F111" s="10"/>
      <x:c r="G111" s="10" t="str">
        <x:f>IF(F111="","",MIN(F111,E111))</x:f>
      </x:c>
      <x:c r="H111" s="10" t="str">
        <x:f>IF(F111="","",MAX(0,F111-E111))</x:f>
      </x:c>
      <x:c r="I111" s="24"/>
      <x:c r="J111" s="7"/>
      <x:c r="K111" s="8" t="str">
        <x:f>IF(A111="","",DATE(YEAR(A111),MONTH(A111),1))</x:f>
      </x:c>
    </x:row>
    <x:row r="112">
      <x:c r="A112" s="9"/>
      <x:c r="B112" s="7"/>
      <x:c r="C112" s="7" t="str">
        <x:f>IF(B112="","",XLOOKUP(B112,Employees!$A$4:$A$53,Employees!$B$4:$B$53,""))</x:f>
      </x:c>
      <x:c r="D112" s="7"/>
      <x:c r="E112" s="10" t="n">
        <x:v>8</x:v>
      </x:c>
      <x:c r="F112" s="10"/>
      <x:c r="G112" s="10" t="str">
        <x:f>IF(F112="","",MIN(F112,E112))</x:f>
      </x:c>
      <x:c r="H112" s="10" t="str">
        <x:f>IF(F112="","",MAX(0,F112-E112))</x:f>
      </x:c>
      <x:c r="I112" s="24"/>
      <x:c r="J112" s="7"/>
      <x:c r="K112" s="8" t="str">
        <x:f>IF(A112="","",DATE(YEAR(A112),MONTH(A112),1))</x:f>
      </x:c>
    </x:row>
    <x:row r="113">
      <x:c r="A113" s="9"/>
      <x:c r="B113" s="7"/>
      <x:c r="C113" s="7" t="str">
        <x:f>IF(B113="","",XLOOKUP(B113,Employees!$A$4:$A$53,Employees!$B$4:$B$53,""))</x:f>
      </x:c>
      <x:c r="D113" s="7"/>
      <x:c r="E113" s="10" t="n">
        <x:v>8</x:v>
      </x:c>
      <x:c r="F113" s="10"/>
      <x:c r="G113" s="10" t="str">
        <x:f>IF(F113="","",MIN(F113,E113))</x:f>
      </x:c>
      <x:c r="H113" s="10" t="str">
        <x:f>IF(F113="","",MAX(0,F113-E113))</x:f>
      </x:c>
      <x:c r="I113" s="24"/>
      <x:c r="J113" s="7"/>
      <x:c r="K113" s="8" t="str">
        <x:f>IF(A113="","",DATE(YEAR(A113),MONTH(A113),1))</x:f>
      </x:c>
    </x:row>
    <x:row r="114">
      <x:c r="A114" s="9"/>
      <x:c r="B114" s="7"/>
      <x:c r="C114" s="7" t="str">
        <x:f>IF(B114="","",XLOOKUP(B114,Employees!$A$4:$A$53,Employees!$B$4:$B$53,""))</x:f>
      </x:c>
      <x:c r="D114" s="7"/>
      <x:c r="E114" s="10" t="n">
        <x:v>8</x:v>
      </x:c>
      <x:c r="F114" s="10"/>
      <x:c r="G114" s="10" t="str">
        <x:f>IF(F114="","",MIN(F114,E114))</x:f>
      </x:c>
      <x:c r="H114" s="10" t="str">
        <x:f>IF(F114="","",MAX(0,F114-E114))</x:f>
      </x:c>
      <x:c r="I114" s="24"/>
      <x:c r="J114" s="7"/>
      <x:c r="K114" s="8" t="str">
        <x:f>IF(A114="","",DATE(YEAR(A114),MONTH(A114),1))</x:f>
      </x:c>
    </x:row>
    <x:row r="115">
      <x:c r="A115" s="9"/>
      <x:c r="B115" s="7"/>
      <x:c r="C115" s="7" t="str">
        <x:f>IF(B115="","",XLOOKUP(B115,Employees!$A$4:$A$53,Employees!$B$4:$B$53,""))</x:f>
      </x:c>
      <x:c r="D115" s="7"/>
      <x:c r="E115" s="10" t="n">
        <x:v>8</x:v>
      </x:c>
      <x:c r="F115" s="10"/>
      <x:c r="G115" s="10" t="str">
        <x:f>IF(F115="","",MIN(F115,E115))</x:f>
      </x:c>
      <x:c r="H115" s="10" t="str">
        <x:f>IF(F115="","",MAX(0,F115-E115))</x:f>
      </x:c>
      <x:c r="I115" s="24"/>
      <x:c r="J115" s="7"/>
      <x:c r="K115" s="8" t="str">
        <x:f>IF(A115="","",DATE(YEAR(A115),MONTH(A115),1))</x:f>
      </x:c>
    </x:row>
    <x:row r="116">
      <x:c r="A116" s="9"/>
      <x:c r="B116" s="7"/>
      <x:c r="C116" s="7" t="str">
        <x:f>IF(B116="","",XLOOKUP(B116,Employees!$A$4:$A$53,Employees!$B$4:$B$53,""))</x:f>
      </x:c>
      <x:c r="D116" s="7"/>
      <x:c r="E116" s="10" t="n">
        <x:v>8</x:v>
      </x:c>
      <x:c r="F116" s="10"/>
      <x:c r="G116" s="10" t="str">
        <x:f>IF(F116="","",MIN(F116,E116))</x:f>
      </x:c>
      <x:c r="H116" s="10" t="str">
        <x:f>IF(F116="","",MAX(0,F116-E116))</x:f>
      </x:c>
      <x:c r="I116" s="24"/>
      <x:c r="J116" s="7"/>
      <x:c r="K116" s="8" t="str">
        <x:f>IF(A116="","",DATE(YEAR(A116),MONTH(A116),1))</x:f>
      </x:c>
    </x:row>
    <x:row r="117">
      <x:c r="A117" s="9"/>
      <x:c r="B117" s="7"/>
      <x:c r="C117" s="7" t="str">
        <x:f>IF(B117="","",XLOOKUP(B117,Employees!$A$4:$A$53,Employees!$B$4:$B$53,""))</x:f>
      </x:c>
      <x:c r="D117" s="7"/>
      <x:c r="E117" s="10" t="n">
        <x:v>8</x:v>
      </x:c>
      <x:c r="F117" s="10"/>
      <x:c r="G117" s="10" t="str">
        <x:f>IF(F117="","",MIN(F117,E117))</x:f>
      </x:c>
      <x:c r="H117" s="10" t="str">
        <x:f>IF(F117="","",MAX(0,F117-E117))</x:f>
      </x:c>
      <x:c r="I117" s="24"/>
      <x:c r="J117" s="7"/>
      <x:c r="K117" s="8" t="str">
        <x:f>IF(A117="","",DATE(YEAR(A117),MONTH(A117),1))</x:f>
      </x:c>
    </x:row>
    <x:row r="118">
      <x:c r="A118" s="9"/>
      <x:c r="B118" s="7"/>
      <x:c r="C118" s="7" t="str">
        <x:f>IF(B118="","",XLOOKUP(B118,Employees!$A$4:$A$53,Employees!$B$4:$B$53,""))</x:f>
      </x:c>
      <x:c r="D118" s="7"/>
      <x:c r="E118" s="10" t="n">
        <x:v>8</x:v>
      </x:c>
      <x:c r="F118" s="10"/>
      <x:c r="G118" s="10" t="str">
        <x:f>IF(F118="","",MIN(F118,E118))</x:f>
      </x:c>
      <x:c r="H118" s="10" t="str">
        <x:f>IF(F118="","",MAX(0,F118-E118))</x:f>
      </x:c>
      <x:c r="I118" s="24"/>
      <x:c r="J118" s="7"/>
      <x:c r="K118" s="8" t="str">
        <x:f>IF(A118="","",DATE(YEAR(A118),MONTH(A118),1))</x:f>
      </x:c>
    </x:row>
    <x:row r="119">
      <x:c r="A119" s="9"/>
      <x:c r="B119" s="7"/>
      <x:c r="C119" s="7" t="str">
        <x:f>IF(B119="","",XLOOKUP(B119,Employees!$A$4:$A$53,Employees!$B$4:$B$53,""))</x:f>
      </x:c>
      <x:c r="D119" s="7"/>
      <x:c r="E119" s="10" t="n">
        <x:v>8</x:v>
      </x:c>
      <x:c r="F119" s="10"/>
      <x:c r="G119" s="10" t="str">
        <x:f>IF(F119="","",MIN(F119,E119))</x:f>
      </x:c>
      <x:c r="H119" s="10" t="str">
        <x:f>IF(F119="","",MAX(0,F119-E119))</x:f>
      </x:c>
      <x:c r="I119" s="24"/>
      <x:c r="J119" s="7"/>
      <x:c r="K119" s="8" t="str">
        <x:f>IF(A119="","",DATE(YEAR(A119),MONTH(A119),1))</x:f>
      </x:c>
    </x:row>
    <x:row r="120">
      <x:c r="A120" s="9"/>
      <x:c r="B120" s="7"/>
      <x:c r="C120" s="7" t="str">
        <x:f>IF(B120="","",XLOOKUP(B120,Employees!$A$4:$A$53,Employees!$B$4:$B$53,""))</x:f>
      </x:c>
      <x:c r="D120" s="7"/>
      <x:c r="E120" s="10" t="n">
        <x:v>8</x:v>
      </x:c>
      <x:c r="F120" s="10"/>
      <x:c r="G120" s="10" t="str">
        <x:f>IF(F120="","",MIN(F120,E120))</x:f>
      </x:c>
      <x:c r="H120" s="10" t="str">
        <x:f>IF(F120="","",MAX(0,F120-E120))</x:f>
      </x:c>
      <x:c r="I120" s="24"/>
      <x:c r="J120" s="7"/>
      <x:c r="K120" s="8" t="str">
        <x:f>IF(A120="","",DATE(YEAR(A120),MONTH(A120),1))</x:f>
      </x:c>
    </x:row>
    <x:row r="121">
      <x:c r="A121" s="9"/>
      <x:c r="B121" s="7"/>
      <x:c r="C121" s="7" t="str">
        <x:f>IF(B121="","",XLOOKUP(B121,Employees!$A$4:$A$53,Employees!$B$4:$B$53,""))</x:f>
      </x:c>
      <x:c r="D121" s="7"/>
      <x:c r="E121" s="10" t="n">
        <x:v>8</x:v>
      </x:c>
      <x:c r="F121" s="10"/>
      <x:c r="G121" s="10" t="str">
        <x:f>IF(F121="","",MIN(F121,E121))</x:f>
      </x:c>
      <x:c r="H121" s="10" t="str">
        <x:f>IF(F121="","",MAX(0,F121-E121))</x:f>
      </x:c>
      <x:c r="I121" s="24"/>
      <x:c r="J121" s="7"/>
      <x:c r="K121" s="8" t="str">
        <x:f>IF(A121="","",DATE(YEAR(A121),MONTH(A121),1))</x:f>
      </x:c>
    </x:row>
    <x:row r="122">
      <x:c r="A122" s="9"/>
      <x:c r="B122" s="7"/>
      <x:c r="C122" s="7" t="str">
        <x:f>IF(B122="","",XLOOKUP(B122,Employees!$A$4:$A$53,Employees!$B$4:$B$53,""))</x:f>
      </x:c>
      <x:c r="D122" s="7"/>
      <x:c r="E122" s="10" t="n">
        <x:v>8</x:v>
      </x:c>
      <x:c r="F122" s="10"/>
      <x:c r="G122" s="10" t="str">
        <x:f>IF(F122="","",MIN(F122,E122))</x:f>
      </x:c>
      <x:c r="H122" s="10" t="str">
        <x:f>IF(F122="","",MAX(0,F122-E122))</x:f>
      </x:c>
      <x:c r="I122" s="24"/>
      <x:c r="J122" s="7"/>
      <x:c r="K122" s="8" t="str">
        <x:f>IF(A122="","",DATE(YEAR(A122),MONTH(A122),1))</x:f>
      </x:c>
    </x:row>
    <x:row r="123">
      <x:c r="A123" s="9"/>
      <x:c r="B123" s="7"/>
      <x:c r="C123" s="7" t="str">
        <x:f>IF(B123="","",XLOOKUP(B123,Employees!$A$4:$A$53,Employees!$B$4:$B$53,""))</x:f>
      </x:c>
      <x:c r="D123" s="7"/>
      <x:c r="E123" s="10" t="n">
        <x:v>8</x:v>
      </x:c>
      <x:c r="F123" s="10"/>
      <x:c r="G123" s="10" t="str">
        <x:f>IF(F123="","",MIN(F123,E123))</x:f>
      </x:c>
      <x:c r="H123" s="10" t="str">
        <x:f>IF(F123="","",MAX(0,F123-E123))</x:f>
      </x:c>
      <x:c r="I123" s="24"/>
      <x:c r="J123" s="7"/>
      <x:c r="K123" s="8" t="str">
        <x:f>IF(A123="","",DATE(YEAR(A123),MONTH(A123),1))</x:f>
      </x:c>
    </x:row>
    <x:row r="124">
      <x:c r="A124" s="9"/>
      <x:c r="B124" s="7"/>
      <x:c r="C124" s="7" t="str">
        <x:f>IF(B124="","",XLOOKUP(B124,Employees!$A$4:$A$53,Employees!$B$4:$B$53,""))</x:f>
      </x:c>
      <x:c r="D124" s="7"/>
      <x:c r="E124" s="10" t="n">
        <x:v>8</x:v>
      </x:c>
      <x:c r="F124" s="10"/>
      <x:c r="G124" s="10" t="str">
        <x:f>IF(F124="","",MIN(F124,E124))</x:f>
      </x:c>
      <x:c r="H124" s="10" t="str">
        <x:f>IF(F124="","",MAX(0,F124-E124))</x:f>
      </x:c>
      <x:c r="I124" s="24"/>
      <x:c r="J124" s="7"/>
      <x:c r="K124" s="8" t="str">
        <x:f>IF(A124="","",DATE(YEAR(A124),MONTH(A124),1))</x:f>
      </x:c>
    </x:row>
    <x:row r="125">
      <x:c r="A125" s="9"/>
      <x:c r="B125" s="7"/>
      <x:c r="C125" s="7" t="str">
        <x:f>IF(B125="","",XLOOKUP(B125,Employees!$A$4:$A$53,Employees!$B$4:$B$53,""))</x:f>
      </x:c>
      <x:c r="D125" s="7"/>
      <x:c r="E125" s="10" t="n">
        <x:v>8</x:v>
      </x:c>
      <x:c r="F125" s="10"/>
      <x:c r="G125" s="10" t="str">
        <x:f>IF(F125="","",MIN(F125,E125))</x:f>
      </x:c>
      <x:c r="H125" s="10" t="str">
        <x:f>IF(F125="","",MAX(0,F125-E125))</x:f>
      </x:c>
      <x:c r="I125" s="24"/>
      <x:c r="J125" s="7"/>
      <x:c r="K125" s="8" t="str">
        <x:f>IF(A125="","",DATE(YEAR(A125),MONTH(A125),1))</x:f>
      </x:c>
    </x:row>
    <x:row r="126">
      <x:c r="A126" s="9"/>
      <x:c r="B126" s="7"/>
      <x:c r="C126" s="7" t="str">
        <x:f>IF(B126="","",XLOOKUP(B126,Employees!$A$4:$A$53,Employees!$B$4:$B$53,""))</x:f>
      </x:c>
      <x:c r="D126" s="7"/>
      <x:c r="E126" s="10" t="n">
        <x:v>8</x:v>
      </x:c>
      <x:c r="F126" s="10"/>
      <x:c r="G126" s="10" t="str">
        <x:f>IF(F126="","",MIN(F126,E126))</x:f>
      </x:c>
      <x:c r="H126" s="10" t="str">
        <x:f>IF(F126="","",MAX(0,F126-E126))</x:f>
      </x:c>
      <x:c r="I126" s="24"/>
      <x:c r="J126" s="7"/>
      <x:c r="K126" s="8" t="str">
        <x:f>IF(A126="","",DATE(YEAR(A126),MONTH(A126),1))</x:f>
      </x:c>
    </x:row>
    <x:row r="127">
      <x:c r="A127" s="9"/>
      <x:c r="B127" s="7"/>
      <x:c r="C127" s="7" t="str">
        <x:f>IF(B127="","",XLOOKUP(B127,Employees!$A$4:$A$53,Employees!$B$4:$B$53,""))</x:f>
      </x:c>
      <x:c r="D127" s="7"/>
      <x:c r="E127" s="10" t="n">
        <x:v>8</x:v>
      </x:c>
      <x:c r="F127" s="10"/>
      <x:c r="G127" s="10" t="str">
        <x:f>IF(F127="","",MIN(F127,E127))</x:f>
      </x:c>
      <x:c r="H127" s="10" t="str">
        <x:f>IF(F127="","",MAX(0,F127-E127))</x:f>
      </x:c>
      <x:c r="I127" s="24"/>
      <x:c r="J127" s="7"/>
      <x:c r="K127" s="8" t="str">
        <x:f>IF(A127="","",DATE(YEAR(A127),MONTH(A127),1))</x:f>
      </x:c>
    </x:row>
    <x:row r="128">
      <x:c r="A128" s="9"/>
      <x:c r="B128" s="7"/>
      <x:c r="C128" s="7" t="str">
        <x:f>IF(B128="","",XLOOKUP(B128,Employees!$A$4:$A$53,Employees!$B$4:$B$53,""))</x:f>
      </x:c>
      <x:c r="D128" s="7"/>
      <x:c r="E128" s="10" t="n">
        <x:v>8</x:v>
      </x:c>
      <x:c r="F128" s="10"/>
      <x:c r="G128" s="10" t="str">
        <x:f>IF(F128="","",MIN(F128,E128))</x:f>
      </x:c>
      <x:c r="H128" s="10" t="str">
        <x:f>IF(F128="","",MAX(0,F128-E128))</x:f>
      </x:c>
      <x:c r="I128" s="24"/>
      <x:c r="J128" s="7"/>
      <x:c r="K128" s="8" t="str">
        <x:f>IF(A128="","",DATE(YEAR(A128),MONTH(A128),1))</x:f>
      </x:c>
    </x:row>
    <x:row r="129">
      <x:c r="A129" s="9"/>
      <x:c r="B129" s="7"/>
      <x:c r="C129" s="7" t="str">
        <x:f>IF(B129="","",XLOOKUP(B129,Employees!$A$4:$A$53,Employees!$B$4:$B$53,""))</x:f>
      </x:c>
      <x:c r="D129" s="7"/>
      <x:c r="E129" s="10" t="n">
        <x:v>8</x:v>
      </x:c>
      <x:c r="F129" s="10"/>
      <x:c r="G129" s="10" t="str">
        <x:f>IF(F129="","",MIN(F129,E129))</x:f>
      </x:c>
      <x:c r="H129" s="10" t="str">
        <x:f>IF(F129="","",MAX(0,F129-E129))</x:f>
      </x:c>
      <x:c r="I129" s="24"/>
      <x:c r="J129" s="7"/>
      <x:c r="K129" s="8" t="str">
        <x:f>IF(A129="","",DATE(YEAR(A129),MONTH(A129),1))</x:f>
      </x:c>
    </x:row>
    <x:row r="130">
      <x:c r="A130" s="9"/>
      <x:c r="B130" s="7"/>
      <x:c r="C130" s="7" t="str">
        <x:f>IF(B130="","",XLOOKUP(B130,Employees!$A$4:$A$53,Employees!$B$4:$B$53,""))</x:f>
      </x:c>
      <x:c r="D130" s="7"/>
      <x:c r="E130" s="10" t="n">
        <x:v>8</x:v>
      </x:c>
      <x:c r="F130" s="10"/>
      <x:c r="G130" s="10" t="str">
        <x:f>IF(F130="","",MIN(F130,E130))</x:f>
      </x:c>
      <x:c r="H130" s="10" t="str">
        <x:f>IF(F130="","",MAX(0,F130-E130))</x:f>
      </x:c>
      <x:c r="I130" s="24"/>
      <x:c r="J130" s="7"/>
      <x:c r="K130" s="8" t="str">
        <x:f>IF(A130="","",DATE(YEAR(A130),MONTH(A130),1))</x:f>
      </x:c>
    </x:row>
    <x:row r="131">
      <x:c r="A131" s="9"/>
      <x:c r="B131" s="7"/>
      <x:c r="C131" s="7" t="str">
        <x:f>IF(B131="","",XLOOKUP(B131,Employees!$A$4:$A$53,Employees!$B$4:$B$53,""))</x:f>
      </x:c>
      <x:c r="D131" s="7"/>
      <x:c r="E131" s="10" t="n">
        <x:v>8</x:v>
      </x:c>
      <x:c r="F131" s="10"/>
      <x:c r="G131" s="10" t="str">
        <x:f>IF(F131="","",MIN(F131,E131))</x:f>
      </x:c>
      <x:c r="H131" s="10" t="str">
        <x:f>IF(F131="","",MAX(0,F131-E131))</x:f>
      </x:c>
      <x:c r="I131" s="24"/>
      <x:c r="J131" s="7"/>
      <x:c r="K131" s="8" t="str">
        <x:f>IF(A131="","",DATE(YEAR(A131),MONTH(A131),1))</x:f>
      </x:c>
    </x:row>
    <x:row r="132">
      <x:c r="A132" s="9"/>
      <x:c r="B132" s="7"/>
      <x:c r="C132" s="7" t="str">
        <x:f>IF(B132="","",XLOOKUP(B132,Employees!$A$4:$A$53,Employees!$B$4:$B$53,""))</x:f>
      </x:c>
      <x:c r="D132" s="7"/>
      <x:c r="E132" s="10" t="n">
        <x:v>8</x:v>
      </x:c>
      <x:c r="F132" s="10"/>
      <x:c r="G132" s="10" t="str">
        <x:f>IF(F132="","",MIN(F132,E132))</x:f>
      </x:c>
      <x:c r="H132" s="10" t="str">
        <x:f>IF(F132="","",MAX(0,F132-E132))</x:f>
      </x:c>
      <x:c r="I132" s="24"/>
      <x:c r="J132" s="7"/>
      <x:c r="K132" s="8" t="str">
        <x:f>IF(A132="","",DATE(YEAR(A132),MONTH(A132),1))</x:f>
      </x:c>
    </x:row>
    <x:row r="133">
      <x:c r="A133" s="9"/>
      <x:c r="B133" s="7"/>
      <x:c r="C133" s="7" t="str">
        <x:f>IF(B133="","",XLOOKUP(B133,Employees!$A$4:$A$53,Employees!$B$4:$B$53,""))</x:f>
      </x:c>
      <x:c r="D133" s="7"/>
      <x:c r="E133" s="10" t="n">
        <x:v>8</x:v>
      </x:c>
      <x:c r="F133" s="10"/>
      <x:c r="G133" s="10" t="str">
        <x:f>IF(F133="","",MIN(F133,E133))</x:f>
      </x:c>
      <x:c r="H133" s="10" t="str">
        <x:f>IF(F133="","",MAX(0,F133-E133))</x:f>
      </x:c>
      <x:c r="I133" s="24"/>
      <x:c r="J133" s="7"/>
      <x:c r="K133" s="8" t="str">
        <x:f>IF(A133="","",DATE(YEAR(A133),MONTH(A133),1))</x:f>
      </x:c>
    </x:row>
    <x:row r="134">
      <x:c r="A134" s="9"/>
      <x:c r="B134" s="7"/>
      <x:c r="C134" s="7" t="str">
        <x:f>IF(B134="","",XLOOKUP(B134,Employees!$A$4:$A$53,Employees!$B$4:$B$53,""))</x:f>
      </x:c>
      <x:c r="D134" s="7"/>
      <x:c r="E134" s="10" t="n">
        <x:v>8</x:v>
      </x:c>
      <x:c r="F134" s="10"/>
      <x:c r="G134" s="10" t="str">
        <x:f>IF(F134="","",MIN(F134,E134))</x:f>
      </x:c>
      <x:c r="H134" s="10" t="str">
        <x:f>IF(F134="","",MAX(0,F134-E134))</x:f>
      </x:c>
      <x:c r="I134" s="24"/>
      <x:c r="J134" s="7"/>
      <x:c r="K134" s="8" t="str">
        <x:f>IF(A134="","",DATE(YEAR(A134),MONTH(A134),1))</x:f>
      </x:c>
    </x:row>
    <x:row r="135">
      <x:c r="A135" s="9"/>
      <x:c r="B135" s="7"/>
      <x:c r="C135" s="7" t="str">
        <x:f>IF(B135="","",XLOOKUP(B135,Employees!$A$4:$A$53,Employees!$B$4:$B$53,""))</x:f>
      </x:c>
      <x:c r="D135" s="7"/>
      <x:c r="E135" s="10" t="n">
        <x:v>8</x:v>
      </x:c>
      <x:c r="F135" s="10"/>
      <x:c r="G135" s="10" t="str">
        <x:f>IF(F135="","",MIN(F135,E135))</x:f>
      </x:c>
      <x:c r="H135" s="10" t="str">
        <x:f>IF(F135="","",MAX(0,F135-E135))</x:f>
      </x:c>
      <x:c r="I135" s="24"/>
      <x:c r="J135" s="7"/>
      <x:c r="K135" s="8" t="str">
        <x:f>IF(A135="","",DATE(YEAR(A135),MONTH(A135),1))</x:f>
      </x:c>
    </x:row>
    <x:row r="136">
      <x:c r="A136" s="9"/>
      <x:c r="B136" s="7"/>
      <x:c r="C136" s="7" t="str">
        <x:f>IF(B136="","",XLOOKUP(B136,Employees!$A$4:$A$53,Employees!$B$4:$B$53,""))</x:f>
      </x:c>
      <x:c r="D136" s="7"/>
      <x:c r="E136" s="10" t="n">
        <x:v>8</x:v>
      </x:c>
      <x:c r="F136" s="10"/>
      <x:c r="G136" s="10" t="str">
        <x:f>IF(F136="","",MIN(F136,E136))</x:f>
      </x:c>
      <x:c r="H136" s="10" t="str">
        <x:f>IF(F136="","",MAX(0,F136-E136))</x:f>
      </x:c>
      <x:c r="I136" s="24"/>
      <x:c r="J136" s="7"/>
      <x:c r="K136" s="8" t="str">
        <x:f>IF(A136="","",DATE(YEAR(A136),MONTH(A136),1))</x:f>
      </x:c>
    </x:row>
    <x:row r="137">
      <x:c r="A137" s="9"/>
      <x:c r="B137" s="7"/>
      <x:c r="C137" s="7" t="str">
        <x:f>IF(B137="","",XLOOKUP(B137,Employees!$A$4:$A$53,Employees!$B$4:$B$53,""))</x:f>
      </x:c>
      <x:c r="D137" s="7"/>
      <x:c r="E137" s="10" t="n">
        <x:v>8</x:v>
      </x:c>
      <x:c r="F137" s="10"/>
      <x:c r="G137" s="10" t="str">
        <x:f>IF(F137="","",MIN(F137,E137))</x:f>
      </x:c>
      <x:c r="H137" s="10" t="str">
        <x:f>IF(F137="","",MAX(0,F137-E137))</x:f>
      </x:c>
      <x:c r="I137" s="24"/>
      <x:c r="J137" s="7"/>
      <x:c r="K137" s="8" t="str">
        <x:f>IF(A137="","",DATE(YEAR(A137),MONTH(A137),1))</x:f>
      </x:c>
    </x:row>
    <x:row r="138">
      <x:c r="A138" s="9"/>
      <x:c r="B138" s="7"/>
      <x:c r="C138" s="7" t="str">
        <x:f>IF(B138="","",XLOOKUP(B138,Employees!$A$4:$A$53,Employees!$B$4:$B$53,""))</x:f>
      </x:c>
      <x:c r="D138" s="7"/>
      <x:c r="E138" s="10" t="n">
        <x:v>8</x:v>
      </x:c>
      <x:c r="F138" s="10"/>
      <x:c r="G138" s="10" t="str">
        <x:f>IF(F138="","",MIN(F138,E138))</x:f>
      </x:c>
      <x:c r="H138" s="10" t="str">
        <x:f>IF(F138="","",MAX(0,F138-E138))</x:f>
      </x:c>
      <x:c r="I138" s="24"/>
      <x:c r="J138" s="7"/>
      <x:c r="K138" s="8" t="str">
        <x:f>IF(A138="","",DATE(YEAR(A138),MONTH(A138),1))</x:f>
      </x:c>
    </x:row>
    <x:row r="139">
      <x:c r="A139" s="9"/>
      <x:c r="B139" s="7"/>
      <x:c r="C139" s="7" t="str">
        <x:f>IF(B139="","",XLOOKUP(B139,Employees!$A$4:$A$53,Employees!$B$4:$B$53,""))</x:f>
      </x:c>
      <x:c r="D139" s="7"/>
      <x:c r="E139" s="10" t="n">
        <x:v>8</x:v>
      </x:c>
      <x:c r="F139" s="10"/>
      <x:c r="G139" s="10" t="str">
        <x:f>IF(F139="","",MIN(F139,E139))</x:f>
      </x:c>
      <x:c r="H139" s="10" t="str">
        <x:f>IF(F139="","",MAX(0,F139-E139))</x:f>
      </x:c>
      <x:c r="I139" s="24"/>
      <x:c r="J139" s="7"/>
      <x:c r="K139" s="8" t="str">
        <x:f>IF(A139="","",DATE(YEAR(A139),MONTH(A139),1))</x:f>
      </x:c>
    </x:row>
    <x:row r="140">
      <x:c r="A140" s="9"/>
      <x:c r="B140" s="7"/>
      <x:c r="C140" s="7" t="str">
        <x:f>IF(B140="","",XLOOKUP(B140,Employees!$A$4:$A$53,Employees!$B$4:$B$53,""))</x:f>
      </x:c>
      <x:c r="D140" s="7"/>
      <x:c r="E140" s="10" t="n">
        <x:v>8</x:v>
      </x:c>
      <x:c r="F140" s="10"/>
      <x:c r="G140" s="10" t="str">
        <x:f>IF(F140="","",MIN(F140,E140))</x:f>
      </x:c>
      <x:c r="H140" s="10" t="str">
        <x:f>IF(F140="","",MAX(0,F140-E140))</x:f>
      </x:c>
      <x:c r="I140" s="24"/>
      <x:c r="J140" s="7"/>
      <x:c r="K140" s="8" t="str">
        <x:f>IF(A140="","",DATE(YEAR(A140),MONTH(A140),1))</x:f>
      </x:c>
    </x:row>
    <x:row r="141">
      <x:c r="A141" s="9"/>
      <x:c r="B141" s="7"/>
      <x:c r="C141" s="7" t="str">
        <x:f>IF(B141="","",XLOOKUP(B141,Employees!$A$4:$A$53,Employees!$B$4:$B$53,""))</x:f>
      </x:c>
      <x:c r="D141" s="7"/>
      <x:c r="E141" s="10" t="n">
        <x:v>8</x:v>
      </x:c>
      <x:c r="F141" s="10"/>
      <x:c r="G141" s="10" t="str">
        <x:f>IF(F141="","",MIN(F141,E141))</x:f>
      </x:c>
      <x:c r="H141" s="10" t="str">
        <x:f>IF(F141="","",MAX(0,F141-E141))</x:f>
      </x:c>
      <x:c r="I141" s="24"/>
      <x:c r="J141" s="7"/>
      <x:c r="K141" s="8" t="str">
        <x:f>IF(A141="","",DATE(YEAR(A141),MONTH(A141),1))</x:f>
      </x:c>
    </x:row>
    <x:row r="142">
      <x:c r="A142" s="9"/>
      <x:c r="B142" s="7"/>
      <x:c r="C142" s="7" t="str">
        <x:f>IF(B142="","",XLOOKUP(B142,Employees!$A$4:$A$53,Employees!$B$4:$B$53,""))</x:f>
      </x:c>
      <x:c r="D142" s="7"/>
      <x:c r="E142" s="10" t="n">
        <x:v>8</x:v>
      </x:c>
      <x:c r="F142" s="10"/>
      <x:c r="G142" s="10" t="str">
        <x:f>IF(F142="","",MIN(F142,E142))</x:f>
      </x:c>
      <x:c r="H142" s="10" t="str">
        <x:f>IF(F142="","",MAX(0,F142-E142))</x:f>
      </x:c>
      <x:c r="I142" s="24"/>
      <x:c r="J142" s="7"/>
      <x:c r="K142" s="8" t="str">
        <x:f>IF(A142="","",DATE(YEAR(A142),MONTH(A142),1))</x:f>
      </x:c>
    </x:row>
    <x:row r="143">
      <x:c r="A143" s="9"/>
      <x:c r="B143" s="7"/>
      <x:c r="C143" s="7" t="str">
        <x:f>IF(B143="","",XLOOKUP(B143,Employees!$A$4:$A$53,Employees!$B$4:$B$53,""))</x:f>
      </x:c>
      <x:c r="D143" s="7"/>
      <x:c r="E143" s="10" t="n">
        <x:v>8</x:v>
      </x:c>
      <x:c r="F143" s="10"/>
      <x:c r="G143" s="10" t="str">
        <x:f>IF(F143="","",MIN(F143,E143))</x:f>
      </x:c>
      <x:c r="H143" s="10" t="str">
        <x:f>IF(F143="","",MAX(0,F143-E143))</x:f>
      </x:c>
      <x:c r="I143" s="24"/>
      <x:c r="J143" s="7"/>
      <x:c r="K143" s="8" t="str">
        <x:f>IF(A143="","",DATE(YEAR(A143),MONTH(A143),1))</x:f>
      </x:c>
    </x:row>
    <x:row r="144">
      <x:c r="A144" s="9"/>
      <x:c r="B144" s="7"/>
      <x:c r="C144" s="7" t="str">
        <x:f>IF(B144="","",XLOOKUP(B144,Employees!$A$4:$A$53,Employees!$B$4:$B$53,""))</x:f>
      </x:c>
      <x:c r="D144" s="7"/>
      <x:c r="E144" s="10" t="n">
        <x:v>8</x:v>
      </x:c>
      <x:c r="F144" s="10"/>
      <x:c r="G144" s="10" t="str">
        <x:f>IF(F144="","",MIN(F144,E144))</x:f>
      </x:c>
      <x:c r="H144" s="10" t="str">
        <x:f>IF(F144="","",MAX(0,F144-E144))</x:f>
      </x:c>
      <x:c r="I144" s="24"/>
      <x:c r="J144" s="7"/>
      <x:c r="K144" s="8" t="str">
        <x:f>IF(A144="","",DATE(YEAR(A144),MONTH(A144),1))</x:f>
      </x:c>
    </x:row>
    <x:row r="145">
      <x:c r="A145" s="9"/>
      <x:c r="B145" s="7"/>
      <x:c r="C145" s="7" t="str">
        <x:f>IF(B145="","",XLOOKUP(B145,Employees!$A$4:$A$53,Employees!$B$4:$B$53,""))</x:f>
      </x:c>
      <x:c r="D145" s="7"/>
      <x:c r="E145" s="10" t="n">
        <x:v>8</x:v>
      </x:c>
      <x:c r="F145" s="10"/>
      <x:c r="G145" s="10" t="str">
        <x:f>IF(F145="","",MIN(F145,E145))</x:f>
      </x:c>
      <x:c r="H145" s="10" t="str">
        <x:f>IF(F145="","",MAX(0,F145-E145))</x:f>
      </x:c>
      <x:c r="I145" s="24"/>
      <x:c r="J145" s="7"/>
      <x:c r="K145" s="8" t="str">
        <x:f>IF(A145="","",DATE(YEAR(A145),MONTH(A145),1))</x:f>
      </x:c>
    </x:row>
    <x:row r="146">
      <x:c r="A146" s="9"/>
      <x:c r="B146" s="7"/>
      <x:c r="C146" s="7" t="str">
        <x:f>IF(B146="","",XLOOKUP(B146,Employees!$A$4:$A$53,Employees!$B$4:$B$53,""))</x:f>
      </x:c>
      <x:c r="D146" s="7"/>
      <x:c r="E146" s="10" t="n">
        <x:v>8</x:v>
      </x:c>
      <x:c r="F146" s="10"/>
      <x:c r="G146" s="10" t="str">
        <x:f>IF(F146="","",MIN(F146,E146))</x:f>
      </x:c>
      <x:c r="H146" s="10" t="str">
        <x:f>IF(F146="","",MAX(0,F146-E146))</x:f>
      </x:c>
      <x:c r="I146" s="24"/>
      <x:c r="J146" s="7"/>
      <x:c r="K146" s="8" t="str">
        <x:f>IF(A146="","",DATE(YEAR(A146),MONTH(A146),1))</x:f>
      </x:c>
    </x:row>
    <x:row r="147">
      <x:c r="A147" s="9"/>
      <x:c r="B147" s="7"/>
      <x:c r="C147" s="7" t="str">
        <x:f>IF(B147="","",XLOOKUP(B147,Employees!$A$4:$A$53,Employees!$B$4:$B$53,""))</x:f>
      </x:c>
      <x:c r="D147" s="7"/>
      <x:c r="E147" s="10" t="n">
        <x:v>8</x:v>
      </x:c>
      <x:c r="F147" s="10"/>
      <x:c r="G147" s="10" t="str">
        <x:f>IF(F147="","",MIN(F147,E147))</x:f>
      </x:c>
      <x:c r="H147" s="10" t="str">
        <x:f>IF(F147="","",MAX(0,F147-E147))</x:f>
      </x:c>
      <x:c r="I147" s="24"/>
      <x:c r="J147" s="7"/>
      <x:c r="K147" s="8" t="str">
        <x:f>IF(A147="","",DATE(YEAR(A147),MONTH(A147),1))</x:f>
      </x:c>
    </x:row>
    <x:row r="148">
      <x:c r="A148" s="9"/>
      <x:c r="B148" s="7"/>
      <x:c r="C148" s="7" t="str">
        <x:f>IF(B148="","",XLOOKUP(B148,Employees!$A$4:$A$53,Employees!$B$4:$B$53,""))</x:f>
      </x:c>
      <x:c r="D148" s="7"/>
      <x:c r="E148" s="10" t="n">
        <x:v>8</x:v>
      </x:c>
      <x:c r="F148" s="10"/>
      <x:c r="G148" s="10" t="str">
        <x:f>IF(F148="","",MIN(F148,E148))</x:f>
      </x:c>
      <x:c r="H148" s="10" t="str">
        <x:f>IF(F148="","",MAX(0,F148-E148))</x:f>
      </x:c>
      <x:c r="I148" s="24"/>
      <x:c r="J148" s="7"/>
      <x:c r="K148" s="8" t="str">
        <x:f>IF(A148="","",DATE(YEAR(A148),MONTH(A148),1))</x:f>
      </x:c>
    </x:row>
    <x:row r="149">
      <x:c r="A149" s="9"/>
      <x:c r="B149" s="7"/>
      <x:c r="C149" s="7" t="str">
        <x:f>IF(B149="","",XLOOKUP(B149,Employees!$A$4:$A$53,Employees!$B$4:$B$53,""))</x:f>
      </x:c>
      <x:c r="D149" s="7"/>
      <x:c r="E149" s="10" t="n">
        <x:v>8</x:v>
      </x:c>
      <x:c r="F149" s="10"/>
      <x:c r="G149" s="10" t="str">
        <x:f>IF(F149="","",MIN(F149,E149))</x:f>
      </x:c>
      <x:c r="H149" s="10" t="str">
        <x:f>IF(F149="","",MAX(0,F149-E149))</x:f>
      </x:c>
      <x:c r="I149" s="24"/>
      <x:c r="J149" s="7"/>
      <x:c r="K149" s="8" t="str">
        <x:f>IF(A149="","",DATE(YEAR(A149),MONTH(A149),1))</x:f>
      </x:c>
    </x:row>
    <x:row r="150">
      <x:c r="A150" s="9"/>
      <x:c r="B150" s="7"/>
      <x:c r="C150" s="7" t="str">
        <x:f>IF(B150="","",XLOOKUP(B150,Employees!$A$4:$A$53,Employees!$B$4:$B$53,""))</x:f>
      </x:c>
      <x:c r="D150" s="7"/>
      <x:c r="E150" s="10" t="n">
        <x:v>8</x:v>
      </x:c>
      <x:c r="F150" s="10"/>
      <x:c r="G150" s="10" t="str">
        <x:f>IF(F150="","",MIN(F150,E150))</x:f>
      </x:c>
      <x:c r="H150" s="10" t="str">
        <x:f>IF(F150="","",MAX(0,F150-E150))</x:f>
      </x:c>
      <x:c r="I150" s="24"/>
      <x:c r="J150" s="7"/>
      <x:c r="K150" s="8" t="str">
        <x:f>IF(A150="","",DATE(YEAR(A150),MONTH(A150),1))</x:f>
      </x:c>
    </x:row>
    <x:row r="151">
      <x:c r="A151" s="9"/>
      <x:c r="B151" s="7"/>
      <x:c r="C151" s="7" t="str">
        <x:f>IF(B151="","",XLOOKUP(B151,Employees!$A$4:$A$53,Employees!$B$4:$B$53,""))</x:f>
      </x:c>
      <x:c r="D151" s="7"/>
      <x:c r="E151" s="10" t="n">
        <x:v>8</x:v>
      </x:c>
      <x:c r="F151" s="10"/>
      <x:c r="G151" s="10" t="str">
        <x:f>IF(F151="","",MIN(F151,E151))</x:f>
      </x:c>
      <x:c r="H151" s="10" t="str">
        <x:f>IF(F151="","",MAX(0,F151-E151))</x:f>
      </x:c>
      <x:c r="I151" s="24"/>
      <x:c r="J151" s="7"/>
      <x:c r="K151" s="8" t="str">
        <x:f>IF(A151="","",DATE(YEAR(A151),MONTH(A151),1))</x:f>
      </x:c>
    </x:row>
    <x:row r="152">
      <x:c r="A152" s="9"/>
      <x:c r="B152" s="7"/>
      <x:c r="C152" s="7" t="str">
        <x:f>IF(B152="","",XLOOKUP(B152,Employees!$A$4:$A$53,Employees!$B$4:$B$53,""))</x:f>
      </x:c>
      <x:c r="D152" s="7"/>
      <x:c r="E152" s="10" t="n">
        <x:v>8</x:v>
      </x:c>
      <x:c r="F152" s="10"/>
      <x:c r="G152" s="10" t="str">
        <x:f>IF(F152="","",MIN(F152,E152))</x:f>
      </x:c>
      <x:c r="H152" s="10" t="str">
        <x:f>IF(F152="","",MAX(0,F152-E152))</x:f>
      </x:c>
      <x:c r="I152" s="24"/>
      <x:c r="J152" s="7"/>
      <x:c r="K152" s="8" t="str">
        <x:f>IF(A152="","",DATE(YEAR(A152),MONTH(A152),1))</x:f>
      </x:c>
    </x:row>
    <x:row r="153">
      <x:c r="A153" s="9"/>
      <x:c r="B153" s="7"/>
      <x:c r="C153" s="7" t="str">
        <x:f>IF(B153="","",XLOOKUP(B153,Employees!$A$4:$A$53,Employees!$B$4:$B$53,""))</x:f>
      </x:c>
      <x:c r="D153" s="7"/>
      <x:c r="E153" s="10" t="n">
        <x:v>8</x:v>
      </x:c>
      <x:c r="F153" s="10"/>
      <x:c r="G153" s="10" t="str">
        <x:f>IF(F153="","",MIN(F153,E153))</x:f>
      </x:c>
      <x:c r="H153" s="10" t="str">
        <x:f>IF(F153="","",MAX(0,F153-E153))</x:f>
      </x:c>
      <x:c r="I153" s="24"/>
      <x:c r="J153" s="7"/>
      <x:c r="K153" s="8" t="str">
        <x:f>IF(A153="","",DATE(YEAR(A153),MONTH(A153),1))</x:f>
      </x:c>
    </x:row>
    <x:row r="154">
      <x:c r="A154" s="9"/>
      <x:c r="B154" s="7"/>
      <x:c r="C154" s="7" t="str">
        <x:f>IF(B154="","",XLOOKUP(B154,Employees!$A$4:$A$53,Employees!$B$4:$B$53,""))</x:f>
      </x:c>
      <x:c r="D154" s="7"/>
      <x:c r="E154" s="10" t="n">
        <x:v>8</x:v>
      </x:c>
      <x:c r="F154" s="10"/>
      <x:c r="G154" s="10" t="str">
        <x:f>IF(F154="","",MIN(F154,E154))</x:f>
      </x:c>
      <x:c r="H154" s="10" t="str">
        <x:f>IF(F154="","",MAX(0,F154-E154))</x:f>
      </x:c>
      <x:c r="I154" s="24"/>
      <x:c r="J154" s="7"/>
      <x:c r="K154" s="8" t="str">
        <x:f>IF(A154="","",DATE(YEAR(A154),MONTH(A154),1))</x:f>
      </x:c>
    </x:row>
    <x:row r="155">
      <x:c r="A155" s="9"/>
      <x:c r="B155" s="7"/>
      <x:c r="C155" s="7" t="str">
        <x:f>IF(B155="","",XLOOKUP(B155,Employees!$A$4:$A$53,Employees!$B$4:$B$53,""))</x:f>
      </x:c>
      <x:c r="D155" s="7"/>
      <x:c r="E155" s="10" t="n">
        <x:v>8</x:v>
      </x:c>
      <x:c r="F155" s="10"/>
      <x:c r="G155" s="10" t="str">
        <x:f>IF(F155="","",MIN(F155,E155))</x:f>
      </x:c>
      <x:c r="H155" s="10" t="str">
        <x:f>IF(F155="","",MAX(0,F155-E155))</x:f>
      </x:c>
      <x:c r="I155" s="24"/>
      <x:c r="J155" s="7"/>
      <x:c r="K155" s="8" t="str">
        <x:f>IF(A155="","",DATE(YEAR(A155),MONTH(A155),1))</x:f>
      </x:c>
    </x:row>
    <x:row r="156">
      <x:c r="A156" s="9"/>
      <x:c r="B156" s="7"/>
      <x:c r="C156" s="7" t="str">
        <x:f>IF(B156="","",XLOOKUP(B156,Employees!$A$4:$A$53,Employees!$B$4:$B$53,""))</x:f>
      </x:c>
      <x:c r="D156" s="7"/>
      <x:c r="E156" s="10" t="n">
        <x:v>8</x:v>
      </x:c>
      <x:c r="F156" s="10"/>
      <x:c r="G156" s="10" t="str">
        <x:f>IF(F156="","",MIN(F156,E156))</x:f>
      </x:c>
      <x:c r="H156" s="10" t="str">
        <x:f>IF(F156="","",MAX(0,F156-E156))</x:f>
      </x:c>
      <x:c r="I156" s="24"/>
      <x:c r="J156" s="7"/>
      <x:c r="K156" s="8" t="str">
        <x:f>IF(A156="","",DATE(YEAR(A156),MONTH(A156),1))</x:f>
      </x:c>
    </x:row>
    <x:row r="157">
      <x:c r="A157" s="9"/>
      <x:c r="B157" s="7"/>
      <x:c r="C157" s="7" t="str">
        <x:f>IF(B157="","",XLOOKUP(B157,Employees!$A$4:$A$53,Employees!$B$4:$B$53,""))</x:f>
      </x:c>
      <x:c r="D157" s="7"/>
      <x:c r="E157" s="10" t="n">
        <x:v>8</x:v>
      </x:c>
      <x:c r="F157" s="10"/>
      <x:c r="G157" s="10" t="str">
        <x:f>IF(F157="","",MIN(F157,E157))</x:f>
      </x:c>
      <x:c r="H157" s="10" t="str">
        <x:f>IF(F157="","",MAX(0,F157-E157))</x:f>
      </x:c>
      <x:c r="I157" s="24"/>
      <x:c r="J157" s="7"/>
      <x:c r="K157" s="8" t="str">
        <x:f>IF(A157="","",DATE(YEAR(A157),MONTH(A157),1))</x:f>
      </x:c>
    </x:row>
    <x:row r="158">
      <x:c r="A158" s="9"/>
      <x:c r="B158" s="7"/>
      <x:c r="C158" s="7" t="str">
        <x:f>IF(B158="","",XLOOKUP(B158,Employees!$A$4:$A$53,Employees!$B$4:$B$53,""))</x:f>
      </x:c>
      <x:c r="D158" s="7"/>
      <x:c r="E158" s="10" t="n">
        <x:v>8</x:v>
      </x:c>
      <x:c r="F158" s="10"/>
      <x:c r="G158" s="10" t="str">
        <x:f>IF(F158="","",MIN(F158,E158))</x:f>
      </x:c>
      <x:c r="H158" s="10" t="str">
        <x:f>IF(F158="","",MAX(0,F158-E158))</x:f>
      </x:c>
      <x:c r="I158" s="24"/>
      <x:c r="J158" s="7"/>
      <x:c r="K158" s="8" t="str">
        <x:f>IF(A158="","",DATE(YEAR(A158),MONTH(A158),1))</x:f>
      </x:c>
    </x:row>
    <x:row r="159">
      <x:c r="A159" s="9"/>
      <x:c r="B159" s="7"/>
      <x:c r="C159" s="7" t="str">
        <x:f>IF(B159="","",XLOOKUP(B159,Employees!$A$4:$A$53,Employees!$B$4:$B$53,""))</x:f>
      </x:c>
      <x:c r="D159" s="7"/>
      <x:c r="E159" s="10" t="n">
        <x:v>8</x:v>
      </x:c>
      <x:c r="F159" s="10"/>
      <x:c r="G159" s="10" t="str">
        <x:f>IF(F159="","",MIN(F159,E159))</x:f>
      </x:c>
      <x:c r="H159" s="10" t="str">
        <x:f>IF(F159="","",MAX(0,F159-E159))</x:f>
      </x:c>
      <x:c r="I159" s="24"/>
      <x:c r="J159" s="7"/>
      <x:c r="K159" s="8" t="str">
        <x:f>IF(A159="","",DATE(YEAR(A159),MONTH(A159),1))</x:f>
      </x:c>
    </x:row>
    <x:row r="160">
      <x:c r="A160" s="9"/>
      <x:c r="B160" s="7"/>
      <x:c r="C160" s="7" t="str">
        <x:f>IF(B160="","",XLOOKUP(B160,Employees!$A$4:$A$53,Employees!$B$4:$B$53,""))</x:f>
      </x:c>
      <x:c r="D160" s="7"/>
      <x:c r="E160" s="10" t="n">
        <x:v>8</x:v>
      </x:c>
      <x:c r="F160" s="10"/>
      <x:c r="G160" s="10" t="str">
        <x:f>IF(F160="","",MIN(F160,E160))</x:f>
      </x:c>
      <x:c r="H160" s="10" t="str">
        <x:f>IF(F160="","",MAX(0,F160-E160))</x:f>
      </x:c>
      <x:c r="I160" s="24"/>
      <x:c r="J160" s="7"/>
      <x:c r="K160" s="8" t="str">
        <x:f>IF(A160="","",DATE(YEAR(A160),MONTH(A160),1))</x:f>
      </x:c>
    </x:row>
    <x:row r="161">
      <x:c r="A161" s="9"/>
      <x:c r="B161" s="7"/>
      <x:c r="C161" s="7" t="str">
        <x:f>IF(B161="","",XLOOKUP(B161,Employees!$A$4:$A$53,Employees!$B$4:$B$53,""))</x:f>
      </x:c>
      <x:c r="D161" s="7"/>
      <x:c r="E161" s="10" t="n">
        <x:v>8</x:v>
      </x:c>
      <x:c r="F161" s="10"/>
      <x:c r="G161" s="10" t="str">
        <x:f>IF(F161="","",MIN(F161,E161))</x:f>
      </x:c>
      <x:c r="H161" s="10" t="str">
        <x:f>IF(F161="","",MAX(0,F161-E161))</x:f>
      </x:c>
      <x:c r="I161" s="24"/>
      <x:c r="J161" s="7"/>
      <x:c r="K161" s="8" t="str">
        <x:f>IF(A161="","",DATE(YEAR(A161),MONTH(A161),1))</x:f>
      </x:c>
    </x:row>
    <x:row r="162">
      <x:c r="A162" s="9"/>
      <x:c r="B162" s="7"/>
      <x:c r="C162" s="7" t="str">
        <x:f>IF(B162="","",XLOOKUP(B162,Employees!$A$4:$A$53,Employees!$B$4:$B$53,""))</x:f>
      </x:c>
      <x:c r="D162" s="7"/>
      <x:c r="E162" s="10" t="n">
        <x:v>8</x:v>
      </x:c>
      <x:c r="F162" s="10"/>
      <x:c r="G162" s="10" t="str">
        <x:f>IF(F162="","",MIN(F162,E162))</x:f>
      </x:c>
      <x:c r="H162" s="10" t="str">
        <x:f>IF(F162="","",MAX(0,F162-E162))</x:f>
      </x:c>
      <x:c r="I162" s="24"/>
      <x:c r="J162" s="7"/>
      <x:c r="K162" s="8" t="str">
        <x:f>IF(A162="","",DATE(YEAR(A162),MONTH(A162),1))</x:f>
      </x:c>
    </x:row>
    <x:row r="163">
      <x:c r="A163" s="9"/>
      <x:c r="B163" s="7"/>
      <x:c r="C163" s="7" t="str">
        <x:f>IF(B163="","",XLOOKUP(B163,Employees!$A$4:$A$53,Employees!$B$4:$B$53,""))</x:f>
      </x:c>
      <x:c r="D163" s="7"/>
      <x:c r="E163" s="10" t="n">
        <x:v>8</x:v>
      </x:c>
      <x:c r="F163" s="10"/>
      <x:c r="G163" s="10" t="str">
        <x:f>IF(F163="","",MIN(F163,E163))</x:f>
      </x:c>
      <x:c r="H163" s="10" t="str">
        <x:f>IF(F163="","",MAX(0,F163-E163))</x:f>
      </x:c>
      <x:c r="I163" s="24"/>
      <x:c r="J163" s="7"/>
      <x:c r="K163" s="8" t="str">
        <x:f>IF(A163="","",DATE(YEAR(A163),MONTH(A163),1))</x:f>
      </x:c>
    </x:row>
    <x:row r="164">
      <x:c r="A164" s="9"/>
      <x:c r="B164" s="7"/>
      <x:c r="C164" s="7" t="str">
        <x:f>IF(B164="","",XLOOKUP(B164,Employees!$A$4:$A$53,Employees!$B$4:$B$53,""))</x:f>
      </x:c>
      <x:c r="D164" s="7"/>
      <x:c r="E164" s="10" t="n">
        <x:v>8</x:v>
      </x:c>
      <x:c r="F164" s="10"/>
      <x:c r="G164" s="10" t="str">
        <x:f>IF(F164="","",MIN(F164,E164))</x:f>
      </x:c>
      <x:c r="H164" s="10" t="str">
        <x:f>IF(F164="","",MAX(0,F164-E164))</x:f>
      </x:c>
      <x:c r="I164" s="24"/>
      <x:c r="J164" s="7"/>
      <x:c r="K164" s="8" t="str">
        <x:f>IF(A164="","",DATE(YEAR(A164),MONTH(A164),1))</x:f>
      </x:c>
    </x:row>
    <x:row r="165">
      <x:c r="A165" s="9"/>
      <x:c r="B165" s="7"/>
      <x:c r="C165" s="7" t="str">
        <x:f>IF(B165="","",XLOOKUP(B165,Employees!$A$4:$A$53,Employees!$B$4:$B$53,""))</x:f>
      </x:c>
      <x:c r="D165" s="7"/>
      <x:c r="E165" s="10" t="n">
        <x:v>8</x:v>
      </x:c>
      <x:c r="F165" s="10"/>
      <x:c r="G165" s="10" t="str">
        <x:f>IF(F165="","",MIN(F165,E165))</x:f>
      </x:c>
      <x:c r="H165" s="10" t="str">
        <x:f>IF(F165="","",MAX(0,F165-E165))</x:f>
      </x:c>
      <x:c r="I165" s="24"/>
      <x:c r="J165" s="7"/>
      <x:c r="K165" s="8" t="str">
        <x:f>IF(A165="","",DATE(YEAR(A165),MONTH(A165),1))</x:f>
      </x:c>
    </x:row>
    <x:row r="166">
      <x:c r="A166" s="9"/>
      <x:c r="B166" s="7"/>
      <x:c r="C166" s="7" t="str">
        <x:f>IF(B166="","",XLOOKUP(B166,Employees!$A$4:$A$53,Employees!$B$4:$B$53,""))</x:f>
      </x:c>
      <x:c r="D166" s="7"/>
      <x:c r="E166" s="10" t="n">
        <x:v>8</x:v>
      </x:c>
      <x:c r="F166" s="10"/>
      <x:c r="G166" s="10" t="str">
        <x:f>IF(F166="","",MIN(F166,E166))</x:f>
      </x:c>
      <x:c r="H166" s="10" t="str">
        <x:f>IF(F166="","",MAX(0,F166-E166))</x:f>
      </x:c>
      <x:c r="I166" s="24"/>
      <x:c r="J166" s="7"/>
      <x:c r="K166" s="8" t="str">
        <x:f>IF(A166="","",DATE(YEAR(A166),MONTH(A166),1))</x:f>
      </x:c>
    </x:row>
    <x:row r="167">
      <x:c r="A167" s="9"/>
      <x:c r="B167" s="7"/>
      <x:c r="C167" s="7" t="str">
        <x:f>IF(B167="","",XLOOKUP(B167,Employees!$A$4:$A$53,Employees!$B$4:$B$53,""))</x:f>
      </x:c>
      <x:c r="D167" s="7"/>
      <x:c r="E167" s="10" t="n">
        <x:v>8</x:v>
      </x:c>
      <x:c r="F167" s="10"/>
      <x:c r="G167" s="10" t="str">
        <x:f>IF(F167="","",MIN(F167,E167))</x:f>
      </x:c>
      <x:c r="H167" s="10" t="str">
        <x:f>IF(F167="","",MAX(0,F167-E167))</x:f>
      </x:c>
      <x:c r="I167" s="24"/>
      <x:c r="J167" s="7"/>
      <x:c r="K167" s="8" t="str">
        <x:f>IF(A167="","",DATE(YEAR(A167),MONTH(A167),1))</x:f>
      </x:c>
    </x:row>
    <x:row r="168">
      <x:c r="A168" s="9"/>
      <x:c r="B168" s="7"/>
      <x:c r="C168" s="7" t="str">
        <x:f>IF(B168="","",XLOOKUP(B168,Employees!$A$4:$A$53,Employees!$B$4:$B$53,""))</x:f>
      </x:c>
      <x:c r="D168" s="7"/>
      <x:c r="E168" s="10" t="n">
        <x:v>8</x:v>
      </x:c>
      <x:c r="F168" s="10"/>
      <x:c r="G168" s="10" t="str">
        <x:f>IF(F168="","",MIN(F168,E168))</x:f>
      </x:c>
      <x:c r="H168" s="10" t="str">
        <x:f>IF(F168="","",MAX(0,F168-E168))</x:f>
      </x:c>
      <x:c r="I168" s="24"/>
      <x:c r="J168" s="7"/>
      <x:c r="K168" s="8" t="str">
        <x:f>IF(A168="","",DATE(YEAR(A168),MONTH(A168),1))</x:f>
      </x:c>
    </x:row>
    <x:row r="169">
      <x:c r="A169" s="9"/>
      <x:c r="B169" s="7"/>
      <x:c r="C169" s="7" t="str">
        <x:f>IF(B169="","",XLOOKUP(B169,Employees!$A$4:$A$53,Employees!$B$4:$B$53,""))</x:f>
      </x:c>
      <x:c r="D169" s="7"/>
      <x:c r="E169" s="10" t="n">
        <x:v>8</x:v>
      </x:c>
      <x:c r="F169" s="10"/>
      <x:c r="G169" s="10" t="str">
        <x:f>IF(F169="","",MIN(F169,E169))</x:f>
      </x:c>
      <x:c r="H169" s="10" t="str">
        <x:f>IF(F169="","",MAX(0,F169-E169))</x:f>
      </x:c>
      <x:c r="I169" s="24"/>
      <x:c r="J169" s="7"/>
      <x:c r="K169" s="8" t="str">
        <x:f>IF(A169="","",DATE(YEAR(A169),MONTH(A169),1))</x:f>
      </x:c>
    </x:row>
    <x:row r="170">
      <x:c r="A170" s="9"/>
      <x:c r="B170" s="7"/>
      <x:c r="C170" s="7" t="str">
        <x:f>IF(B170="","",XLOOKUP(B170,Employees!$A$4:$A$53,Employees!$B$4:$B$53,""))</x:f>
      </x:c>
      <x:c r="D170" s="7"/>
      <x:c r="E170" s="10" t="n">
        <x:v>8</x:v>
      </x:c>
      <x:c r="F170" s="10"/>
      <x:c r="G170" s="10" t="str">
        <x:f>IF(F170="","",MIN(F170,E170))</x:f>
      </x:c>
      <x:c r="H170" s="10" t="str">
        <x:f>IF(F170="","",MAX(0,F170-E170))</x:f>
      </x:c>
      <x:c r="I170" s="24"/>
      <x:c r="J170" s="7"/>
      <x:c r="K170" s="8" t="str">
        <x:f>IF(A170="","",DATE(YEAR(A170),MONTH(A170),1))</x:f>
      </x:c>
    </x:row>
    <x:row r="171">
      <x:c r="A171" s="9"/>
      <x:c r="B171" s="7"/>
      <x:c r="C171" s="7" t="str">
        <x:f>IF(B171="","",XLOOKUP(B171,Employees!$A$4:$A$53,Employees!$B$4:$B$53,""))</x:f>
      </x:c>
      <x:c r="D171" s="7"/>
      <x:c r="E171" s="10" t="n">
        <x:v>8</x:v>
      </x:c>
      <x:c r="F171" s="10"/>
      <x:c r="G171" s="10" t="str">
        <x:f>IF(F171="","",MIN(F171,E171))</x:f>
      </x:c>
      <x:c r="H171" s="10" t="str">
        <x:f>IF(F171="","",MAX(0,F171-E171))</x:f>
      </x:c>
      <x:c r="I171" s="24"/>
      <x:c r="J171" s="7"/>
      <x:c r="K171" s="8" t="str">
        <x:f>IF(A171="","",DATE(YEAR(A171),MONTH(A171),1))</x:f>
      </x:c>
    </x:row>
    <x:row r="172">
      <x:c r="A172" s="9"/>
      <x:c r="B172" s="7"/>
      <x:c r="C172" s="7" t="str">
        <x:f>IF(B172="","",XLOOKUP(B172,Employees!$A$4:$A$53,Employees!$B$4:$B$53,""))</x:f>
      </x:c>
      <x:c r="D172" s="7"/>
      <x:c r="E172" s="10" t="n">
        <x:v>8</x:v>
      </x:c>
      <x:c r="F172" s="10"/>
      <x:c r="G172" s="10" t="str">
        <x:f>IF(F172="","",MIN(F172,E172))</x:f>
      </x:c>
      <x:c r="H172" s="10" t="str">
        <x:f>IF(F172="","",MAX(0,F172-E172))</x:f>
      </x:c>
      <x:c r="I172" s="24"/>
      <x:c r="J172" s="7"/>
      <x:c r="K172" s="8" t="str">
        <x:f>IF(A172="","",DATE(YEAR(A172),MONTH(A172),1))</x:f>
      </x:c>
    </x:row>
    <x:row r="173">
      <x:c r="A173" s="9"/>
      <x:c r="B173" s="7"/>
      <x:c r="C173" s="7" t="str">
        <x:f>IF(B173="","",XLOOKUP(B173,Employees!$A$4:$A$53,Employees!$B$4:$B$53,""))</x:f>
      </x:c>
      <x:c r="D173" s="7"/>
      <x:c r="E173" s="10" t="n">
        <x:v>8</x:v>
      </x:c>
      <x:c r="F173" s="10"/>
      <x:c r="G173" s="10" t="str">
        <x:f>IF(F173="","",MIN(F173,E173))</x:f>
      </x:c>
      <x:c r="H173" s="10" t="str">
        <x:f>IF(F173="","",MAX(0,F173-E173))</x:f>
      </x:c>
      <x:c r="I173" s="24"/>
      <x:c r="J173" s="7"/>
      <x:c r="K173" s="8" t="str">
        <x:f>IF(A173="","",DATE(YEAR(A173),MONTH(A173),1))</x:f>
      </x:c>
    </x:row>
    <x:row r="174">
      <x:c r="A174" s="9"/>
      <x:c r="B174" s="7"/>
      <x:c r="C174" s="7" t="str">
        <x:f>IF(B174="","",XLOOKUP(B174,Employees!$A$4:$A$53,Employees!$B$4:$B$53,""))</x:f>
      </x:c>
      <x:c r="D174" s="7"/>
      <x:c r="E174" s="10" t="n">
        <x:v>8</x:v>
      </x:c>
      <x:c r="F174" s="10"/>
      <x:c r="G174" s="10" t="str">
        <x:f>IF(F174="","",MIN(F174,E174))</x:f>
      </x:c>
      <x:c r="H174" s="10" t="str">
        <x:f>IF(F174="","",MAX(0,F174-E174))</x:f>
      </x:c>
      <x:c r="I174" s="24"/>
      <x:c r="J174" s="7"/>
      <x:c r="K174" s="8" t="str">
        <x:f>IF(A174="","",DATE(YEAR(A174),MONTH(A174),1))</x:f>
      </x:c>
    </x:row>
    <x:row r="175">
      <x:c r="A175" s="9"/>
      <x:c r="B175" s="7"/>
      <x:c r="C175" s="7" t="str">
        <x:f>IF(B175="","",XLOOKUP(B175,Employees!$A$4:$A$53,Employees!$B$4:$B$53,""))</x:f>
      </x:c>
      <x:c r="D175" s="7"/>
      <x:c r="E175" s="10" t="n">
        <x:v>8</x:v>
      </x:c>
      <x:c r="F175" s="10"/>
      <x:c r="G175" s="10" t="str">
        <x:f>IF(F175="","",MIN(F175,E175))</x:f>
      </x:c>
      <x:c r="H175" s="10" t="str">
        <x:f>IF(F175="","",MAX(0,F175-E175))</x:f>
      </x:c>
      <x:c r="I175" s="24"/>
      <x:c r="J175" s="7"/>
      <x:c r="K175" s="8" t="str">
        <x:f>IF(A175="","",DATE(YEAR(A175),MONTH(A175),1))</x:f>
      </x:c>
    </x:row>
    <x:row r="176">
      <x:c r="A176" s="9"/>
      <x:c r="B176" s="7"/>
      <x:c r="C176" s="7" t="str">
        <x:f>IF(B176="","",XLOOKUP(B176,Employees!$A$4:$A$53,Employees!$B$4:$B$53,""))</x:f>
      </x:c>
      <x:c r="D176" s="7"/>
      <x:c r="E176" s="10" t="n">
        <x:v>8</x:v>
      </x:c>
      <x:c r="F176" s="10"/>
      <x:c r="G176" s="10" t="str">
        <x:f>IF(F176="","",MIN(F176,E176))</x:f>
      </x:c>
      <x:c r="H176" s="10" t="str">
        <x:f>IF(F176="","",MAX(0,F176-E176))</x:f>
      </x:c>
      <x:c r="I176" s="24"/>
      <x:c r="J176" s="7"/>
      <x:c r="K176" s="8" t="str">
        <x:f>IF(A176="","",DATE(YEAR(A176),MONTH(A176),1))</x:f>
      </x:c>
    </x:row>
    <x:row r="177">
      <x:c r="A177" s="9"/>
      <x:c r="B177" s="7"/>
      <x:c r="C177" s="7" t="str">
        <x:f>IF(B177="","",XLOOKUP(B177,Employees!$A$4:$A$53,Employees!$B$4:$B$53,""))</x:f>
      </x:c>
      <x:c r="D177" s="7"/>
      <x:c r="E177" s="10" t="n">
        <x:v>8</x:v>
      </x:c>
      <x:c r="F177" s="10"/>
      <x:c r="G177" s="10" t="str">
        <x:f>IF(F177="","",MIN(F177,E177))</x:f>
      </x:c>
      <x:c r="H177" s="10" t="str">
        <x:f>IF(F177="","",MAX(0,F177-E177))</x:f>
      </x:c>
      <x:c r="I177" s="24"/>
      <x:c r="J177" s="7"/>
      <x:c r="K177" s="8" t="str">
        <x:f>IF(A177="","",DATE(YEAR(A177),MONTH(A177),1))</x:f>
      </x:c>
    </x:row>
    <x:row r="178">
      <x:c r="A178" s="9"/>
      <x:c r="B178" s="7"/>
      <x:c r="C178" s="7" t="str">
        <x:f>IF(B178="","",XLOOKUP(B178,Employees!$A$4:$A$53,Employees!$B$4:$B$53,""))</x:f>
      </x:c>
      <x:c r="D178" s="7"/>
      <x:c r="E178" s="10" t="n">
        <x:v>8</x:v>
      </x:c>
      <x:c r="F178" s="10"/>
      <x:c r="G178" s="10" t="str">
        <x:f>IF(F178="","",MIN(F178,E178))</x:f>
      </x:c>
      <x:c r="H178" s="10" t="str">
        <x:f>IF(F178="","",MAX(0,F178-E178))</x:f>
      </x:c>
      <x:c r="I178" s="24"/>
      <x:c r="J178" s="7"/>
      <x:c r="K178" s="8" t="str">
        <x:f>IF(A178="","",DATE(YEAR(A178),MONTH(A178),1))</x:f>
      </x:c>
    </x:row>
    <x:row r="179">
      <x:c r="A179" s="9"/>
      <x:c r="B179" s="7"/>
      <x:c r="C179" s="7" t="str">
        <x:f>IF(B179="","",XLOOKUP(B179,Employees!$A$4:$A$53,Employees!$B$4:$B$53,""))</x:f>
      </x:c>
      <x:c r="D179" s="7"/>
      <x:c r="E179" s="10" t="n">
        <x:v>8</x:v>
      </x:c>
      <x:c r="F179" s="10"/>
      <x:c r="G179" s="10" t="str">
        <x:f>IF(F179="","",MIN(F179,E179))</x:f>
      </x:c>
      <x:c r="H179" s="10" t="str">
        <x:f>IF(F179="","",MAX(0,F179-E179))</x:f>
      </x:c>
      <x:c r="I179" s="24"/>
      <x:c r="J179" s="7"/>
      <x:c r="K179" s="8" t="str">
        <x:f>IF(A179="","",DATE(YEAR(A179),MONTH(A179),1))</x:f>
      </x:c>
    </x:row>
    <x:row r="180">
      <x:c r="A180" s="9"/>
      <x:c r="B180" s="7"/>
      <x:c r="C180" s="7" t="str">
        <x:f>IF(B180="","",XLOOKUP(B180,Employees!$A$4:$A$53,Employees!$B$4:$B$53,""))</x:f>
      </x:c>
      <x:c r="D180" s="7"/>
      <x:c r="E180" s="10" t="n">
        <x:v>8</x:v>
      </x:c>
      <x:c r="F180" s="10"/>
      <x:c r="G180" s="10" t="str">
        <x:f>IF(F180="","",MIN(F180,E180))</x:f>
      </x:c>
      <x:c r="H180" s="10" t="str">
        <x:f>IF(F180="","",MAX(0,F180-E180))</x:f>
      </x:c>
      <x:c r="I180" s="24"/>
      <x:c r="J180" s="7"/>
      <x:c r="K180" s="8" t="str">
        <x:f>IF(A180="","",DATE(YEAR(A180),MONTH(A180),1))</x:f>
      </x:c>
    </x:row>
    <x:row r="181">
      <x:c r="A181" s="9"/>
      <x:c r="B181" s="7"/>
      <x:c r="C181" s="7" t="str">
        <x:f>IF(B181="","",XLOOKUP(B181,Employees!$A$4:$A$53,Employees!$B$4:$B$53,""))</x:f>
      </x:c>
      <x:c r="D181" s="7"/>
      <x:c r="E181" s="10" t="n">
        <x:v>8</x:v>
      </x:c>
      <x:c r="F181" s="10"/>
      <x:c r="G181" s="10" t="str">
        <x:f>IF(F181="","",MIN(F181,E181))</x:f>
      </x:c>
      <x:c r="H181" s="10" t="str">
        <x:f>IF(F181="","",MAX(0,F181-E181))</x:f>
      </x:c>
      <x:c r="I181" s="24"/>
      <x:c r="J181" s="7"/>
      <x:c r="K181" s="8" t="str">
        <x:f>IF(A181="","",DATE(YEAR(A181),MONTH(A181),1))</x:f>
      </x:c>
    </x:row>
    <x:row r="182">
      <x:c r="A182" s="9"/>
      <x:c r="B182" s="7"/>
      <x:c r="C182" s="7" t="str">
        <x:f>IF(B182="","",XLOOKUP(B182,Employees!$A$4:$A$53,Employees!$B$4:$B$53,""))</x:f>
      </x:c>
      <x:c r="D182" s="7"/>
      <x:c r="E182" s="10" t="n">
        <x:v>8</x:v>
      </x:c>
      <x:c r="F182" s="10"/>
      <x:c r="G182" s="10" t="str">
        <x:f>IF(F182="","",MIN(F182,E182))</x:f>
      </x:c>
      <x:c r="H182" s="10" t="str">
        <x:f>IF(F182="","",MAX(0,F182-E182))</x:f>
      </x:c>
      <x:c r="I182" s="24"/>
      <x:c r="J182" s="7"/>
      <x:c r="K182" s="8" t="str">
        <x:f>IF(A182="","",DATE(YEAR(A182),MONTH(A182),1))</x:f>
      </x:c>
    </x:row>
    <x:row r="183">
      <x:c r="A183" s="9"/>
      <x:c r="B183" s="7"/>
      <x:c r="C183" s="7" t="str">
        <x:f>IF(B183="","",XLOOKUP(B183,Employees!$A$4:$A$53,Employees!$B$4:$B$53,""))</x:f>
      </x:c>
      <x:c r="D183" s="7"/>
      <x:c r="E183" s="10" t="n">
        <x:v>8</x:v>
      </x:c>
      <x:c r="F183" s="10"/>
      <x:c r="G183" s="10" t="str">
        <x:f>IF(F183="","",MIN(F183,E183))</x:f>
      </x:c>
      <x:c r="H183" s="10" t="str">
        <x:f>IF(F183="","",MAX(0,F183-E183))</x:f>
      </x:c>
      <x:c r="I183" s="24"/>
      <x:c r="J183" s="7"/>
      <x:c r="K183" s="8" t="str">
        <x:f>IF(A183="","",DATE(YEAR(A183),MONTH(A183),1))</x:f>
      </x:c>
    </x:row>
    <x:row r="184">
      <x:c r="A184" s="9"/>
      <x:c r="B184" s="7"/>
      <x:c r="C184" s="7" t="str">
        <x:f>IF(B184="","",XLOOKUP(B184,Employees!$A$4:$A$53,Employees!$B$4:$B$53,""))</x:f>
      </x:c>
      <x:c r="D184" s="7"/>
      <x:c r="E184" s="10" t="n">
        <x:v>8</x:v>
      </x:c>
      <x:c r="F184" s="10"/>
      <x:c r="G184" s="10" t="str">
        <x:f>IF(F184="","",MIN(F184,E184))</x:f>
      </x:c>
      <x:c r="H184" s="10" t="str">
        <x:f>IF(F184="","",MAX(0,F184-E184))</x:f>
      </x:c>
      <x:c r="I184" s="24"/>
      <x:c r="J184" s="7"/>
      <x:c r="K184" s="8" t="str">
        <x:f>IF(A184="","",DATE(YEAR(A184),MONTH(A184),1))</x:f>
      </x:c>
    </x:row>
    <x:row r="185">
      <x:c r="A185" s="9"/>
      <x:c r="B185" s="7"/>
      <x:c r="C185" s="7" t="str">
        <x:f>IF(B185="","",XLOOKUP(B185,Employees!$A$4:$A$53,Employees!$B$4:$B$53,""))</x:f>
      </x:c>
      <x:c r="D185" s="7"/>
      <x:c r="E185" s="10" t="n">
        <x:v>8</x:v>
      </x:c>
      <x:c r="F185" s="10"/>
      <x:c r="G185" s="10" t="str">
        <x:f>IF(F185="","",MIN(F185,E185))</x:f>
      </x:c>
      <x:c r="H185" s="10" t="str">
        <x:f>IF(F185="","",MAX(0,F185-E185))</x:f>
      </x:c>
      <x:c r="I185" s="24"/>
      <x:c r="J185" s="7"/>
      <x:c r="K185" s="8" t="str">
        <x:f>IF(A185="","",DATE(YEAR(A185),MONTH(A185),1))</x:f>
      </x:c>
    </x:row>
    <x:row r="186">
      <x:c r="A186" s="9"/>
      <x:c r="B186" s="7"/>
      <x:c r="C186" s="7" t="str">
        <x:f>IF(B186="","",XLOOKUP(B186,Employees!$A$4:$A$53,Employees!$B$4:$B$53,""))</x:f>
      </x:c>
      <x:c r="D186" s="7"/>
      <x:c r="E186" s="10" t="n">
        <x:v>8</x:v>
      </x:c>
      <x:c r="F186" s="10"/>
      <x:c r="G186" s="10" t="str">
        <x:f>IF(F186="","",MIN(F186,E186))</x:f>
      </x:c>
      <x:c r="H186" s="10" t="str">
        <x:f>IF(F186="","",MAX(0,F186-E186))</x:f>
      </x:c>
      <x:c r="I186" s="24"/>
      <x:c r="J186" s="7"/>
      <x:c r="K186" s="8" t="str">
        <x:f>IF(A186="","",DATE(YEAR(A186),MONTH(A186),1))</x:f>
      </x:c>
    </x:row>
    <x:row r="187">
      <x:c r="A187" s="9"/>
      <x:c r="B187" s="7"/>
      <x:c r="C187" s="7" t="str">
        <x:f>IF(B187="","",XLOOKUP(B187,Employees!$A$4:$A$53,Employees!$B$4:$B$53,""))</x:f>
      </x:c>
      <x:c r="D187" s="7"/>
      <x:c r="E187" s="10" t="n">
        <x:v>8</x:v>
      </x:c>
      <x:c r="F187" s="10"/>
      <x:c r="G187" s="10" t="str">
        <x:f>IF(F187="","",MIN(F187,E187))</x:f>
      </x:c>
      <x:c r="H187" s="10" t="str">
        <x:f>IF(F187="","",MAX(0,F187-E187))</x:f>
      </x:c>
      <x:c r="I187" s="24"/>
      <x:c r="J187" s="7"/>
      <x:c r="K187" s="8" t="str">
        <x:f>IF(A187="","",DATE(YEAR(A187),MONTH(A187),1))</x:f>
      </x:c>
    </x:row>
    <x:row r="188">
      <x:c r="A188" s="9"/>
      <x:c r="B188" s="7"/>
      <x:c r="C188" s="7" t="str">
        <x:f>IF(B188="","",XLOOKUP(B188,Employees!$A$4:$A$53,Employees!$B$4:$B$53,""))</x:f>
      </x:c>
      <x:c r="D188" s="7"/>
      <x:c r="E188" s="10" t="n">
        <x:v>8</x:v>
      </x:c>
      <x:c r="F188" s="10"/>
      <x:c r="G188" s="10" t="str">
        <x:f>IF(F188="","",MIN(F188,E188))</x:f>
      </x:c>
      <x:c r="H188" s="10" t="str">
        <x:f>IF(F188="","",MAX(0,F188-E188))</x:f>
      </x:c>
      <x:c r="I188" s="24"/>
      <x:c r="J188" s="7"/>
      <x:c r="K188" s="8" t="str">
        <x:f>IF(A188="","",DATE(YEAR(A188),MONTH(A188),1))</x:f>
      </x:c>
    </x:row>
    <x:row r="189">
      <x:c r="A189" s="9"/>
      <x:c r="B189" s="7"/>
      <x:c r="C189" s="7" t="str">
        <x:f>IF(B189="","",XLOOKUP(B189,Employees!$A$4:$A$53,Employees!$B$4:$B$53,""))</x:f>
      </x:c>
      <x:c r="D189" s="7"/>
      <x:c r="E189" s="10" t="n">
        <x:v>8</x:v>
      </x:c>
      <x:c r="F189" s="10"/>
      <x:c r="G189" s="10" t="str">
        <x:f>IF(F189="","",MIN(F189,E189))</x:f>
      </x:c>
      <x:c r="H189" s="10" t="str">
        <x:f>IF(F189="","",MAX(0,F189-E189))</x:f>
      </x:c>
      <x:c r="I189" s="24"/>
      <x:c r="J189" s="7"/>
      <x:c r="K189" s="8" t="str">
        <x:f>IF(A189="","",DATE(YEAR(A189),MONTH(A189),1))</x:f>
      </x:c>
    </x:row>
    <x:row r="190">
      <x:c r="A190" s="9"/>
      <x:c r="B190" s="7"/>
      <x:c r="C190" s="7" t="str">
        <x:f>IF(B190="","",XLOOKUP(B190,Employees!$A$4:$A$53,Employees!$B$4:$B$53,""))</x:f>
      </x:c>
      <x:c r="D190" s="7"/>
      <x:c r="E190" s="10" t="n">
        <x:v>8</x:v>
      </x:c>
      <x:c r="F190" s="10"/>
      <x:c r="G190" s="10" t="str">
        <x:f>IF(F190="","",MIN(F190,E190))</x:f>
      </x:c>
      <x:c r="H190" s="10" t="str">
        <x:f>IF(F190="","",MAX(0,F190-E190))</x:f>
      </x:c>
      <x:c r="I190" s="24"/>
      <x:c r="J190" s="7"/>
      <x:c r="K190" s="8" t="str">
        <x:f>IF(A190="","",DATE(YEAR(A190),MONTH(A190),1))</x:f>
      </x:c>
    </x:row>
    <x:row r="191">
      <x:c r="A191" s="9"/>
      <x:c r="B191" s="7"/>
      <x:c r="C191" s="7" t="str">
        <x:f>IF(B191="","",XLOOKUP(B191,Employees!$A$4:$A$53,Employees!$B$4:$B$53,""))</x:f>
      </x:c>
      <x:c r="D191" s="7"/>
      <x:c r="E191" s="10" t="n">
        <x:v>8</x:v>
      </x:c>
      <x:c r="F191" s="10"/>
      <x:c r="G191" s="10" t="str">
        <x:f>IF(F191="","",MIN(F191,E191))</x:f>
      </x:c>
      <x:c r="H191" s="10" t="str">
        <x:f>IF(F191="","",MAX(0,F191-E191))</x:f>
      </x:c>
      <x:c r="I191" s="24"/>
      <x:c r="J191" s="7"/>
      <x:c r="K191" s="8" t="str">
        <x:f>IF(A191="","",DATE(YEAR(A191),MONTH(A191),1))</x:f>
      </x:c>
    </x:row>
    <x:row r="192">
      <x:c r="A192" s="9"/>
      <x:c r="B192" s="7"/>
      <x:c r="C192" s="7" t="str">
        <x:f>IF(B192="","",XLOOKUP(B192,Employees!$A$4:$A$53,Employees!$B$4:$B$53,""))</x:f>
      </x:c>
      <x:c r="D192" s="7"/>
      <x:c r="E192" s="10" t="n">
        <x:v>8</x:v>
      </x:c>
      <x:c r="F192" s="10"/>
      <x:c r="G192" s="10" t="str">
        <x:f>IF(F192="","",MIN(F192,E192))</x:f>
      </x:c>
      <x:c r="H192" s="10" t="str">
        <x:f>IF(F192="","",MAX(0,F192-E192))</x:f>
      </x:c>
      <x:c r="I192" s="24"/>
      <x:c r="J192" s="7"/>
      <x:c r="K192" s="8" t="str">
        <x:f>IF(A192="","",DATE(YEAR(A192),MONTH(A192),1))</x:f>
      </x:c>
    </x:row>
    <x:row r="193">
      <x:c r="A193" s="9"/>
      <x:c r="B193" s="7"/>
      <x:c r="C193" s="7" t="str">
        <x:f>IF(B193="","",XLOOKUP(B193,Employees!$A$4:$A$53,Employees!$B$4:$B$53,""))</x:f>
      </x:c>
      <x:c r="D193" s="7"/>
      <x:c r="E193" s="10" t="n">
        <x:v>8</x:v>
      </x:c>
      <x:c r="F193" s="10"/>
      <x:c r="G193" s="10" t="str">
        <x:f>IF(F193="","",MIN(F193,E193))</x:f>
      </x:c>
      <x:c r="H193" s="10" t="str">
        <x:f>IF(F193="","",MAX(0,F193-E193))</x:f>
      </x:c>
      <x:c r="I193" s="24"/>
      <x:c r="J193" s="7"/>
      <x:c r="K193" s="8" t="str">
        <x:f>IF(A193="","",DATE(YEAR(A193),MONTH(A193),1))</x:f>
      </x:c>
    </x:row>
    <x:row r="194">
      <x:c r="A194" s="9"/>
      <x:c r="B194" s="7"/>
      <x:c r="C194" s="7" t="str">
        <x:f>IF(B194="","",XLOOKUP(B194,Employees!$A$4:$A$53,Employees!$B$4:$B$53,""))</x:f>
      </x:c>
      <x:c r="D194" s="7"/>
      <x:c r="E194" s="10" t="n">
        <x:v>8</x:v>
      </x:c>
      <x:c r="F194" s="10"/>
      <x:c r="G194" s="10" t="str">
        <x:f>IF(F194="","",MIN(F194,E194))</x:f>
      </x:c>
      <x:c r="H194" s="10" t="str">
        <x:f>IF(F194="","",MAX(0,F194-E194))</x:f>
      </x:c>
      <x:c r="I194" s="24"/>
      <x:c r="J194" s="7"/>
      <x:c r="K194" s="8" t="str">
        <x:f>IF(A194="","",DATE(YEAR(A194),MONTH(A194),1))</x:f>
      </x:c>
    </x:row>
    <x:row r="195">
      <x:c r="A195" s="9"/>
      <x:c r="B195" s="7"/>
      <x:c r="C195" s="7" t="str">
        <x:f>IF(B195="","",XLOOKUP(B195,Employees!$A$4:$A$53,Employees!$B$4:$B$53,""))</x:f>
      </x:c>
      <x:c r="D195" s="7"/>
      <x:c r="E195" s="10" t="n">
        <x:v>8</x:v>
      </x:c>
      <x:c r="F195" s="10"/>
      <x:c r="G195" s="10" t="str">
        <x:f>IF(F195="","",MIN(F195,E195))</x:f>
      </x:c>
      <x:c r="H195" s="10" t="str">
        <x:f>IF(F195="","",MAX(0,F195-E195))</x:f>
      </x:c>
      <x:c r="I195" s="24"/>
      <x:c r="J195" s="7"/>
      <x:c r="K195" s="8" t="str">
        <x:f>IF(A195="","",DATE(YEAR(A195),MONTH(A195),1))</x:f>
      </x:c>
    </x:row>
    <x:row r="196">
      <x:c r="A196" s="9"/>
      <x:c r="B196" s="7"/>
      <x:c r="C196" s="7" t="str">
        <x:f>IF(B196="","",XLOOKUP(B196,Employees!$A$4:$A$53,Employees!$B$4:$B$53,""))</x:f>
      </x:c>
      <x:c r="D196" s="7"/>
      <x:c r="E196" s="10" t="n">
        <x:v>8</x:v>
      </x:c>
      <x:c r="F196" s="10"/>
      <x:c r="G196" s="10" t="str">
        <x:f>IF(F196="","",MIN(F196,E196))</x:f>
      </x:c>
      <x:c r="H196" s="10" t="str">
        <x:f>IF(F196="","",MAX(0,F196-E196))</x:f>
      </x:c>
      <x:c r="I196" s="24"/>
      <x:c r="J196" s="7"/>
      <x:c r="K196" s="8" t="str">
        <x:f>IF(A196="","",DATE(YEAR(A196),MONTH(A196),1))</x:f>
      </x:c>
    </x:row>
    <x:row r="197">
      <x:c r="A197" s="9"/>
      <x:c r="B197" s="7"/>
      <x:c r="C197" s="7" t="str">
        <x:f>IF(B197="","",XLOOKUP(B197,Employees!$A$4:$A$53,Employees!$B$4:$B$53,""))</x:f>
      </x:c>
      <x:c r="D197" s="7"/>
      <x:c r="E197" s="10" t="n">
        <x:v>8</x:v>
      </x:c>
      <x:c r="F197" s="10"/>
      <x:c r="G197" s="10" t="str">
        <x:f>IF(F197="","",MIN(F197,E197))</x:f>
      </x:c>
      <x:c r="H197" s="10" t="str">
        <x:f>IF(F197="","",MAX(0,F197-E197))</x:f>
      </x:c>
      <x:c r="I197" s="24"/>
      <x:c r="J197" s="7"/>
      <x:c r="K197" s="8" t="str">
        <x:f>IF(A197="","",DATE(YEAR(A197),MONTH(A197),1))</x:f>
      </x:c>
    </x:row>
    <x:row r="198">
      <x:c r="A198" s="9"/>
      <x:c r="B198" s="7"/>
      <x:c r="C198" s="7" t="str">
        <x:f>IF(B198="","",XLOOKUP(B198,Employees!$A$4:$A$53,Employees!$B$4:$B$53,""))</x:f>
      </x:c>
      <x:c r="D198" s="7"/>
      <x:c r="E198" s="10" t="n">
        <x:v>8</x:v>
      </x:c>
      <x:c r="F198" s="10"/>
      <x:c r="G198" s="10" t="str">
        <x:f>IF(F198="","",MIN(F198,E198))</x:f>
      </x:c>
      <x:c r="H198" s="10" t="str">
        <x:f>IF(F198="","",MAX(0,F198-E198))</x:f>
      </x:c>
      <x:c r="I198" s="24"/>
      <x:c r="J198" s="7"/>
      <x:c r="K198" s="8" t="str">
        <x:f>IF(A198="","",DATE(YEAR(A198),MONTH(A198),1))</x:f>
      </x:c>
    </x:row>
    <x:row r="199">
      <x:c r="A199" s="9"/>
      <x:c r="B199" s="7"/>
      <x:c r="C199" s="7" t="str">
        <x:f>IF(B199="","",XLOOKUP(B199,Employees!$A$4:$A$53,Employees!$B$4:$B$53,""))</x:f>
      </x:c>
      <x:c r="D199" s="7"/>
      <x:c r="E199" s="10" t="n">
        <x:v>8</x:v>
      </x:c>
      <x:c r="F199" s="10"/>
      <x:c r="G199" s="10" t="str">
        <x:f>IF(F199="","",MIN(F199,E199))</x:f>
      </x:c>
      <x:c r="H199" s="10" t="str">
        <x:f>IF(F199="","",MAX(0,F199-E199))</x:f>
      </x:c>
      <x:c r="I199" s="24"/>
      <x:c r="J199" s="7"/>
      <x:c r="K199" s="8" t="str">
        <x:f>IF(A199="","",DATE(YEAR(A199),MONTH(A199),1))</x:f>
      </x:c>
    </x:row>
    <x:row r="200">
      <x:c r="A200" s="9"/>
      <x:c r="B200" s="7"/>
      <x:c r="C200" s="7" t="str">
        <x:f>IF(B200="","",XLOOKUP(B200,Employees!$A$4:$A$53,Employees!$B$4:$B$53,""))</x:f>
      </x:c>
      <x:c r="D200" s="7"/>
      <x:c r="E200" s="10" t="n">
        <x:v>8</x:v>
      </x:c>
      <x:c r="F200" s="10"/>
      <x:c r="G200" s="10" t="str">
        <x:f>IF(F200="","",MIN(F200,E200))</x:f>
      </x:c>
      <x:c r="H200" s="10" t="str">
        <x:f>IF(F200="","",MAX(0,F200-E200))</x:f>
      </x:c>
      <x:c r="I200" s="24"/>
      <x:c r="J200" s="7"/>
      <x:c r="K200" s="8" t="str">
        <x:f>IF(A200="","",DATE(YEAR(A200),MONTH(A200),1))</x:f>
      </x:c>
    </x:row>
    <x:row r="201">
      <x:c r="A201" s="9"/>
      <x:c r="B201" s="7"/>
      <x:c r="C201" s="7" t="str">
        <x:f>IF(B201="","",XLOOKUP(B201,Employees!$A$4:$A$53,Employees!$B$4:$B$53,""))</x:f>
      </x:c>
      <x:c r="D201" s="7"/>
      <x:c r="E201" s="10" t="n">
        <x:v>8</x:v>
      </x:c>
      <x:c r="F201" s="10"/>
      <x:c r="G201" s="10" t="str">
        <x:f>IF(F201="","",MIN(F201,E201))</x:f>
      </x:c>
      <x:c r="H201" s="10" t="str">
        <x:f>IF(F201="","",MAX(0,F201-E201))</x:f>
      </x:c>
      <x:c r="I201" s="24"/>
      <x:c r="J201" s="7"/>
      <x:c r="K201" s="8" t="str">
        <x:f>IF(A201="","",DATE(YEAR(A201),MONTH(A201),1))</x:f>
      </x:c>
    </x:row>
    <x:row r="202">
      <x:c r="A202" s="9"/>
      <x:c r="B202" s="7"/>
      <x:c r="C202" s="7" t="str">
        <x:f>IF(B202="","",XLOOKUP(B202,Employees!$A$4:$A$53,Employees!$B$4:$B$53,""))</x:f>
      </x:c>
      <x:c r="D202" s="7"/>
      <x:c r="E202" s="10" t="n">
        <x:v>8</x:v>
      </x:c>
      <x:c r="F202" s="10"/>
      <x:c r="G202" s="10" t="str">
        <x:f>IF(F202="","",MIN(F202,E202))</x:f>
      </x:c>
      <x:c r="H202" s="10" t="str">
        <x:f>IF(F202="","",MAX(0,F202-E202))</x:f>
      </x:c>
      <x:c r="I202" s="24"/>
      <x:c r="J202" s="7"/>
      <x:c r="K202" s="8" t="str">
        <x:f>IF(A202="","",DATE(YEAR(A202),MONTH(A202),1))</x:f>
      </x:c>
    </x:row>
    <x:row r="203">
      <x:c r="A203" s="9"/>
      <x:c r="B203" s="7"/>
      <x:c r="C203" s="7" t="str">
        <x:f>IF(B203="","",XLOOKUP(B203,Employees!$A$4:$A$53,Employees!$B$4:$B$53,""))</x:f>
      </x:c>
      <x:c r="D203" s="7"/>
      <x:c r="E203" s="10" t="n">
        <x:v>8</x:v>
      </x:c>
      <x:c r="F203" s="10"/>
      <x:c r="G203" s="10" t="str">
        <x:f>IF(F203="","",MIN(F203,E203))</x:f>
      </x:c>
      <x:c r="H203" s="10" t="str">
        <x:f>IF(F203="","",MAX(0,F203-E203))</x:f>
      </x:c>
      <x:c r="I203" s="24"/>
      <x:c r="J203" s="7"/>
      <x:c r="K203" s="8" t="str">
        <x:f>IF(A203="","",DATE(YEAR(A203),MONTH(A203),1))</x:f>
      </x:c>
    </x:row>
    <x:row r="204">
      <x:c r="A204" s="9"/>
      <x:c r="B204" s="7"/>
      <x:c r="C204" s="7" t="str">
        <x:f>IF(B204="","",XLOOKUP(B204,Employees!$A$4:$A$53,Employees!$B$4:$B$53,""))</x:f>
      </x:c>
      <x:c r="D204" s="7"/>
      <x:c r="E204" s="10" t="n">
        <x:v>8</x:v>
      </x:c>
      <x:c r="F204" s="10"/>
      <x:c r="G204" s="10" t="str">
        <x:f>IF(F204="","",MIN(F204,E204))</x:f>
      </x:c>
      <x:c r="H204" s="10" t="str">
        <x:f>IF(F204="","",MAX(0,F204-E204))</x:f>
      </x:c>
      <x:c r="I204" s="24"/>
      <x:c r="J204" s="7"/>
      <x:c r="K204" s="8" t="str">
        <x:f>IF(A204="","",DATE(YEAR(A204),MONTH(A204),1))</x:f>
      </x:c>
    </x:row>
    <x:row r="205">
      <x:c r="A205" s="9"/>
      <x:c r="B205" s="7"/>
      <x:c r="C205" s="7" t="str">
        <x:f>IF(B205="","",XLOOKUP(B205,Employees!$A$4:$A$53,Employees!$B$4:$B$53,""))</x:f>
      </x:c>
      <x:c r="D205" s="7"/>
      <x:c r="E205" s="10" t="n">
        <x:v>8</x:v>
      </x:c>
      <x:c r="F205" s="10"/>
      <x:c r="G205" s="10" t="str">
        <x:f>IF(F205="","",MIN(F205,E205))</x:f>
      </x:c>
      <x:c r="H205" s="10" t="str">
        <x:f>IF(F205="","",MAX(0,F205-E205))</x:f>
      </x:c>
      <x:c r="I205" s="24"/>
      <x:c r="J205" s="7"/>
      <x:c r="K205" s="8" t="str">
        <x:f>IF(A205="","",DATE(YEAR(A205),MONTH(A205),1))</x:f>
      </x:c>
    </x:row>
    <x:row r="206">
      <x:c r="A206" s="9"/>
      <x:c r="B206" s="7"/>
      <x:c r="C206" s="7" t="str">
        <x:f>IF(B206="","",XLOOKUP(B206,Employees!$A$4:$A$53,Employees!$B$4:$B$53,""))</x:f>
      </x:c>
      <x:c r="D206" s="7"/>
      <x:c r="E206" s="10" t="n">
        <x:v>8</x:v>
      </x:c>
      <x:c r="F206" s="10"/>
      <x:c r="G206" s="10" t="str">
        <x:f>IF(F206="","",MIN(F206,E206))</x:f>
      </x:c>
      <x:c r="H206" s="10" t="str">
        <x:f>IF(F206="","",MAX(0,F206-E206))</x:f>
      </x:c>
      <x:c r="I206" s="24"/>
      <x:c r="J206" s="7"/>
      <x:c r="K206" s="8" t="str">
        <x:f>IF(A206="","",DATE(YEAR(A206),MONTH(A206),1))</x:f>
      </x:c>
    </x:row>
    <x:row r="207">
      <x:c r="A207" s="9"/>
      <x:c r="B207" s="7"/>
      <x:c r="C207" s="7" t="str">
        <x:f>IF(B207="","",XLOOKUP(B207,Employees!$A$4:$A$53,Employees!$B$4:$B$53,""))</x:f>
      </x:c>
      <x:c r="D207" s="7"/>
      <x:c r="E207" s="10" t="n">
        <x:v>8</x:v>
      </x:c>
      <x:c r="F207" s="10"/>
      <x:c r="G207" s="10" t="str">
        <x:f>IF(F207="","",MIN(F207,E207))</x:f>
      </x:c>
      <x:c r="H207" s="10" t="str">
        <x:f>IF(F207="","",MAX(0,F207-E207))</x:f>
      </x:c>
      <x:c r="I207" s="24"/>
      <x:c r="J207" s="7"/>
      <x:c r="K207" s="8" t="str">
        <x:f>IF(A207="","",DATE(YEAR(A207),MONTH(A207),1))</x:f>
      </x:c>
    </x:row>
    <x:row r="208">
      <x:c r="A208" s="9"/>
      <x:c r="B208" s="7"/>
      <x:c r="C208" s="7" t="str">
        <x:f>IF(B208="","",XLOOKUP(B208,Employees!$A$4:$A$53,Employees!$B$4:$B$53,""))</x:f>
      </x:c>
      <x:c r="D208" s="7"/>
      <x:c r="E208" s="10" t="n">
        <x:v>8</x:v>
      </x:c>
      <x:c r="F208" s="10"/>
      <x:c r="G208" s="10" t="str">
        <x:f>IF(F208="","",MIN(F208,E208))</x:f>
      </x:c>
      <x:c r="H208" s="10" t="str">
        <x:f>IF(F208="","",MAX(0,F208-E208))</x:f>
      </x:c>
      <x:c r="I208" s="24"/>
      <x:c r="J208" s="7"/>
      <x:c r="K208" s="8" t="str">
        <x:f>IF(A208="","",DATE(YEAR(A208),MONTH(A208),1))</x:f>
      </x:c>
    </x:row>
    <x:row r="209">
      <x:c r="A209" s="9"/>
      <x:c r="B209" s="7"/>
      <x:c r="C209" s="7" t="str">
        <x:f>IF(B209="","",XLOOKUP(B209,Employees!$A$4:$A$53,Employees!$B$4:$B$53,""))</x:f>
      </x:c>
      <x:c r="D209" s="7"/>
      <x:c r="E209" s="10" t="n">
        <x:v>8</x:v>
      </x:c>
      <x:c r="F209" s="10"/>
      <x:c r="G209" s="10" t="str">
        <x:f>IF(F209="","",MIN(F209,E209))</x:f>
      </x:c>
      <x:c r="H209" s="10" t="str">
        <x:f>IF(F209="","",MAX(0,F209-E209))</x:f>
      </x:c>
      <x:c r="I209" s="24"/>
      <x:c r="J209" s="7"/>
      <x:c r="K209" s="8" t="str">
        <x:f>IF(A209="","",DATE(YEAR(A209),MONTH(A209),1))</x:f>
      </x:c>
    </x:row>
    <x:row r="210">
      <x:c r="A210" s="9"/>
      <x:c r="B210" s="7"/>
      <x:c r="C210" s="7" t="str">
        <x:f>IF(B210="","",XLOOKUP(B210,Employees!$A$4:$A$53,Employees!$B$4:$B$53,""))</x:f>
      </x:c>
      <x:c r="D210" s="7"/>
      <x:c r="E210" s="10" t="n">
        <x:v>8</x:v>
      </x:c>
      <x:c r="F210" s="10"/>
      <x:c r="G210" s="10" t="str">
        <x:f>IF(F210="","",MIN(F210,E210))</x:f>
      </x:c>
      <x:c r="H210" s="10" t="str">
        <x:f>IF(F210="","",MAX(0,F210-E210))</x:f>
      </x:c>
      <x:c r="I210" s="24"/>
      <x:c r="J210" s="7"/>
      <x:c r="K210" s="8" t="str">
        <x:f>IF(A210="","",DATE(YEAR(A210),MONTH(A210),1))</x:f>
      </x:c>
    </x:row>
    <x:row r="211">
      <x:c r="A211" s="9"/>
      <x:c r="B211" s="7"/>
      <x:c r="C211" s="7" t="str">
        <x:f>IF(B211="","",XLOOKUP(B211,Employees!$A$4:$A$53,Employees!$B$4:$B$53,""))</x:f>
      </x:c>
      <x:c r="D211" s="7"/>
      <x:c r="E211" s="10" t="n">
        <x:v>8</x:v>
      </x:c>
      <x:c r="F211" s="10"/>
      <x:c r="G211" s="10" t="str">
        <x:f>IF(F211="","",MIN(F211,E211))</x:f>
      </x:c>
      <x:c r="H211" s="10" t="str">
        <x:f>IF(F211="","",MAX(0,F211-E211))</x:f>
      </x:c>
      <x:c r="I211" s="24"/>
      <x:c r="J211" s="7"/>
      <x:c r="K211" s="8" t="str">
        <x:f>IF(A211="","",DATE(YEAR(A211),MONTH(A211),1))</x:f>
      </x:c>
    </x:row>
    <x:row r="212">
      <x:c r="A212" s="9"/>
      <x:c r="B212" s="7"/>
      <x:c r="C212" s="7" t="str">
        <x:f>IF(B212="","",XLOOKUP(B212,Employees!$A$4:$A$53,Employees!$B$4:$B$53,""))</x:f>
      </x:c>
      <x:c r="D212" s="7"/>
      <x:c r="E212" s="10" t="n">
        <x:v>8</x:v>
      </x:c>
      <x:c r="F212" s="10"/>
      <x:c r="G212" s="10" t="str">
        <x:f>IF(F212="","",MIN(F212,E212))</x:f>
      </x:c>
      <x:c r="H212" s="10" t="str">
        <x:f>IF(F212="","",MAX(0,F212-E212))</x:f>
      </x:c>
      <x:c r="I212" s="24"/>
      <x:c r="J212" s="7"/>
      <x:c r="K212" s="8" t="str">
        <x:f>IF(A212="","",DATE(YEAR(A212),MONTH(A212),1))</x:f>
      </x:c>
    </x:row>
    <x:row r="213">
      <x:c r="A213" s="9"/>
      <x:c r="B213" s="7"/>
      <x:c r="C213" s="7" t="str">
        <x:f>IF(B213="","",XLOOKUP(B213,Employees!$A$4:$A$53,Employees!$B$4:$B$53,""))</x:f>
      </x:c>
      <x:c r="D213" s="7"/>
      <x:c r="E213" s="10" t="n">
        <x:v>8</x:v>
      </x:c>
      <x:c r="F213" s="10"/>
      <x:c r="G213" s="10" t="str">
        <x:f>IF(F213="","",MIN(F213,E213))</x:f>
      </x:c>
      <x:c r="H213" s="10" t="str">
        <x:f>IF(F213="","",MAX(0,F213-E213))</x:f>
      </x:c>
      <x:c r="I213" s="24"/>
      <x:c r="J213" s="7"/>
      <x:c r="K213" s="8" t="str">
        <x:f>IF(A213="","",DATE(YEAR(A213),MONTH(A213),1))</x:f>
      </x:c>
    </x:row>
    <x:row r="214">
      <x:c r="A214" s="9"/>
      <x:c r="B214" s="7"/>
      <x:c r="C214" s="7" t="str">
        <x:f>IF(B214="","",XLOOKUP(B214,Employees!$A$4:$A$53,Employees!$B$4:$B$53,""))</x:f>
      </x:c>
      <x:c r="D214" s="7"/>
      <x:c r="E214" s="10" t="n">
        <x:v>8</x:v>
      </x:c>
      <x:c r="F214" s="10"/>
      <x:c r="G214" s="10" t="str">
        <x:f>IF(F214="","",MIN(F214,E214))</x:f>
      </x:c>
      <x:c r="H214" s="10" t="str">
        <x:f>IF(F214="","",MAX(0,F214-E214))</x:f>
      </x:c>
      <x:c r="I214" s="24"/>
      <x:c r="J214" s="7"/>
      <x:c r="K214" s="8" t="str">
        <x:f>IF(A214="","",DATE(YEAR(A214),MONTH(A214),1))</x:f>
      </x:c>
    </x:row>
    <x:row r="215">
      <x:c r="A215" s="9"/>
      <x:c r="B215" s="7"/>
      <x:c r="C215" s="7" t="str">
        <x:f>IF(B215="","",XLOOKUP(B215,Employees!$A$4:$A$53,Employees!$B$4:$B$53,""))</x:f>
      </x:c>
      <x:c r="D215" s="7"/>
      <x:c r="E215" s="10" t="n">
        <x:v>8</x:v>
      </x:c>
      <x:c r="F215" s="10"/>
      <x:c r="G215" s="10" t="str">
        <x:f>IF(F215="","",MIN(F215,E215))</x:f>
      </x:c>
      <x:c r="H215" s="10" t="str">
        <x:f>IF(F215="","",MAX(0,F215-E215))</x:f>
      </x:c>
      <x:c r="I215" s="24"/>
      <x:c r="J215" s="7"/>
      <x:c r="K215" s="8" t="str">
        <x:f>IF(A215="","",DATE(YEAR(A215),MONTH(A215),1))</x:f>
      </x:c>
    </x:row>
    <x:row r="216">
      <x:c r="A216" s="9"/>
      <x:c r="B216" s="7"/>
      <x:c r="C216" s="7" t="str">
        <x:f>IF(B216="","",XLOOKUP(B216,Employees!$A$4:$A$53,Employees!$B$4:$B$53,""))</x:f>
      </x:c>
      <x:c r="D216" s="7"/>
      <x:c r="E216" s="10" t="n">
        <x:v>8</x:v>
      </x:c>
      <x:c r="F216" s="10"/>
      <x:c r="G216" s="10" t="str">
        <x:f>IF(F216="","",MIN(F216,E216))</x:f>
      </x:c>
      <x:c r="H216" s="10" t="str">
        <x:f>IF(F216="","",MAX(0,F216-E216))</x:f>
      </x:c>
      <x:c r="I216" s="24"/>
      <x:c r="J216" s="7"/>
      <x:c r="K216" s="8" t="str">
        <x:f>IF(A216="","",DATE(YEAR(A216),MONTH(A216),1))</x:f>
      </x:c>
    </x:row>
    <x:row r="217">
      <x:c r="A217" s="9"/>
      <x:c r="B217" s="7"/>
      <x:c r="C217" s="7" t="str">
        <x:f>IF(B217="","",XLOOKUP(B217,Employees!$A$4:$A$53,Employees!$B$4:$B$53,""))</x:f>
      </x:c>
      <x:c r="D217" s="7"/>
      <x:c r="E217" s="10" t="n">
        <x:v>8</x:v>
      </x:c>
      <x:c r="F217" s="10"/>
      <x:c r="G217" s="10" t="str">
        <x:f>IF(F217="","",MIN(F217,E217))</x:f>
      </x:c>
      <x:c r="H217" s="10" t="str">
        <x:f>IF(F217="","",MAX(0,F217-E217))</x:f>
      </x:c>
      <x:c r="I217" s="24"/>
      <x:c r="J217" s="7"/>
      <x:c r="K217" s="8" t="str">
        <x:f>IF(A217="","",DATE(YEAR(A217),MONTH(A217),1))</x:f>
      </x:c>
    </x:row>
    <x:row r="218">
      <x:c r="A218" s="9"/>
      <x:c r="B218" s="7"/>
      <x:c r="C218" s="7" t="str">
        <x:f>IF(B218="","",XLOOKUP(B218,Employees!$A$4:$A$53,Employees!$B$4:$B$53,""))</x:f>
      </x:c>
      <x:c r="D218" s="7"/>
      <x:c r="E218" s="10" t="n">
        <x:v>8</x:v>
      </x:c>
      <x:c r="F218" s="10"/>
      <x:c r="G218" s="10" t="str">
        <x:f>IF(F218="","",MIN(F218,E218))</x:f>
      </x:c>
      <x:c r="H218" s="10" t="str">
        <x:f>IF(F218="","",MAX(0,F218-E218))</x:f>
      </x:c>
      <x:c r="I218" s="24"/>
      <x:c r="J218" s="7"/>
      <x:c r="K218" s="8" t="str">
        <x:f>IF(A218="","",DATE(YEAR(A218),MONTH(A218),1))</x:f>
      </x:c>
    </x:row>
    <x:row r="219">
      <x:c r="A219" s="9"/>
      <x:c r="B219" s="7"/>
      <x:c r="C219" s="7" t="str">
        <x:f>IF(B219="","",XLOOKUP(B219,Employees!$A$4:$A$53,Employees!$B$4:$B$53,""))</x:f>
      </x:c>
      <x:c r="D219" s="7"/>
      <x:c r="E219" s="10" t="n">
        <x:v>8</x:v>
      </x:c>
      <x:c r="F219" s="10"/>
      <x:c r="G219" s="10" t="str">
        <x:f>IF(F219="","",MIN(F219,E219))</x:f>
      </x:c>
      <x:c r="H219" s="10" t="str">
        <x:f>IF(F219="","",MAX(0,F219-E219))</x:f>
      </x:c>
      <x:c r="I219" s="24"/>
      <x:c r="J219" s="7"/>
      <x:c r="K219" s="8" t="str">
        <x:f>IF(A219="","",DATE(YEAR(A219),MONTH(A219),1))</x:f>
      </x:c>
    </x:row>
    <x:row r="220">
      <x:c r="A220" s="9"/>
      <x:c r="B220" s="7"/>
      <x:c r="C220" s="7" t="str">
        <x:f>IF(B220="","",XLOOKUP(B220,Employees!$A$4:$A$53,Employees!$B$4:$B$53,""))</x:f>
      </x:c>
      <x:c r="D220" s="7"/>
      <x:c r="E220" s="10" t="n">
        <x:v>8</x:v>
      </x:c>
      <x:c r="F220" s="10"/>
      <x:c r="G220" s="10" t="str">
        <x:f>IF(F220="","",MIN(F220,E220))</x:f>
      </x:c>
      <x:c r="H220" s="10" t="str">
        <x:f>IF(F220="","",MAX(0,F220-E220))</x:f>
      </x:c>
      <x:c r="I220" s="24"/>
      <x:c r="J220" s="7"/>
      <x:c r="K220" s="8" t="str">
        <x:f>IF(A220="","",DATE(YEAR(A220),MONTH(A220),1))</x:f>
      </x:c>
    </x:row>
    <x:row r="221">
      <x:c r="A221" s="9"/>
      <x:c r="B221" s="7"/>
      <x:c r="C221" s="7" t="str">
        <x:f>IF(B221="","",XLOOKUP(B221,Employees!$A$4:$A$53,Employees!$B$4:$B$53,""))</x:f>
      </x:c>
      <x:c r="D221" s="7"/>
      <x:c r="E221" s="10" t="n">
        <x:v>8</x:v>
      </x:c>
      <x:c r="F221" s="10"/>
      <x:c r="G221" s="10" t="str">
        <x:f>IF(F221="","",MIN(F221,E221))</x:f>
      </x:c>
      <x:c r="H221" s="10" t="str">
        <x:f>IF(F221="","",MAX(0,F221-E221))</x:f>
      </x:c>
      <x:c r="I221" s="24"/>
      <x:c r="J221" s="7"/>
      <x:c r="K221" s="8" t="str">
        <x:f>IF(A221="","",DATE(YEAR(A221),MONTH(A221),1))</x:f>
      </x:c>
    </x:row>
    <x:row r="222">
      <x:c r="A222" s="9"/>
      <x:c r="B222" s="7"/>
      <x:c r="C222" s="7" t="str">
        <x:f>IF(B222="","",XLOOKUP(B222,Employees!$A$4:$A$53,Employees!$B$4:$B$53,""))</x:f>
      </x:c>
      <x:c r="D222" s="7"/>
      <x:c r="E222" s="10" t="n">
        <x:v>8</x:v>
      </x:c>
      <x:c r="F222" s="10"/>
      <x:c r="G222" s="10" t="str">
        <x:f>IF(F222="","",MIN(F222,E222))</x:f>
      </x:c>
      <x:c r="H222" s="10" t="str">
        <x:f>IF(F222="","",MAX(0,F222-E222))</x:f>
      </x:c>
      <x:c r="I222" s="24"/>
      <x:c r="J222" s="7"/>
      <x:c r="K222" s="8" t="str">
        <x:f>IF(A222="","",DATE(YEAR(A222),MONTH(A222),1))</x:f>
      </x:c>
    </x:row>
    <x:row r="223">
      <x:c r="A223" s="9"/>
      <x:c r="B223" s="7"/>
      <x:c r="C223" s="7" t="str">
        <x:f>IF(B223="","",XLOOKUP(B223,Employees!$A$4:$A$53,Employees!$B$4:$B$53,""))</x:f>
      </x:c>
      <x:c r="D223" s="7"/>
      <x:c r="E223" s="10" t="n">
        <x:v>8</x:v>
      </x:c>
      <x:c r="F223" s="10"/>
      <x:c r="G223" s="10" t="str">
        <x:f>IF(F223="","",MIN(F223,E223))</x:f>
      </x:c>
      <x:c r="H223" s="10" t="str">
        <x:f>IF(F223="","",MAX(0,F223-E223))</x:f>
      </x:c>
      <x:c r="I223" s="24"/>
      <x:c r="J223" s="7"/>
      <x:c r="K223" s="8" t="str">
        <x:f>IF(A223="","",DATE(YEAR(A223),MONTH(A223),1))</x:f>
      </x:c>
    </x:row>
    <x:row r="224">
      <x:c r="A224" s="9"/>
      <x:c r="B224" s="7"/>
      <x:c r="C224" s="7" t="str">
        <x:f>IF(B224="","",XLOOKUP(B224,Employees!$A$4:$A$53,Employees!$B$4:$B$53,""))</x:f>
      </x:c>
      <x:c r="D224" s="7"/>
      <x:c r="E224" s="10" t="n">
        <x:v>8</x:v>
      </x:c>
      <x:c r="F224" s="10"/>
      <x:c r="G224" s="10" t="str">
        <x:f>IF(F224="","",MIN(F224,E224))</x:f>
      </x:c>
      <x:c r="H224" s="10" t="str">
        <x:f>IF(F224="","",MAX(0,F224-E224))</x:f>
      </x:c>
      <x:c r="I224" s="24"/>
      <x:c r="J224" s="7"/>
      <x:c r="K224" s="8" t="str">
        <x:f>IF(A224="","",DATE(YEAR(A224),MONTH(A224),1))</x:f>
      </x:c>
    </x:row>
    <x:row r="225">
      <x:c r="A225" s="9"/>
      <x:c r="B225" s="7"/>
      <x:c r="C225" s="7" t="str">
        <x:f>IF(B225="","",XLOOKUP(B225,Employees!$A$4:$A$53,Employees!$B$4:$B$53,""))</x:f>
      </x:c>
      <x:c r="D225" s="7"/>
      <x:c r="E225" s="10" t="n">
        <x:v>8</x:v>
      </x:c>
      <x:c r="F225" s="10"/>
      <x:c r="G225" s="10" t="str">
        <x:f>IF(F225="","",MIN(F225,E225))</x:f>
      </x:c>
      <x:c r="H225" s="10" t="str">
        <x:f>IF(F225="","",MAX(0,F225-E225))</x:f>
      </x:c>
      <x:c r="I225" s="24"/>
      <x:c r="J225" s="7"/>
      <x:c r="K225" s="8" t="str">
        <x:f>IF(A225="","",DATE(YEAR(A225),MONTH(A225),1))</x:f>
      </x:c>
    </x:row>
    <x:row r="226">
      <x:c r="A226" s="9"/>
      <x:c r="B226" s="7"/>
      <x:c r="C226" s="7" t="str">
        <x:f>IF(B226="","",XLOOKUP(B226,Employees!$A$4:$A$53,Employees!$B$4:$B$53,""))</x:f>
      </x:c>
      <x:c r="D226" s="7"/>
      <x:c r="E226" s="10" t="n">
        <x:v>8</x:v>
      </x:c>
      <x:c r="F226" s="10"/>
      <x:c r="G226" s="10" t="str">
        <x:f>IF(F226="","",MIN(F226,E226))</x:f>
      </x:c>
      <x:c r="H226" s="10" t="str">
        <x:f>IF(F226="","",MAX(0,F226-E226))</x:f>
      </x:c>
      <x:c r="I226" s="24"/>
      <x:c r="J226" s="7"/>
      <x:c r="K226" s="8" t="str">
        <x:f>IF(A226="","",DATE(YEAR(A226),MONTH(A226),1))</x:f>
      </x:c>
    </x:row>
    <x:row r="227">
      <x:c r="A227" s="9"/>
      <x:c r="B227" s="7"/>
      <x:c r="C227" s="7" t="str">
        <x:f>IF(B227="","",XLOOKUP(B227,Employees!$A$4:$A$53,Employees!$B$4:$B$53,""))</x:f>
      </x:c>
      <x:c r="D227" s="7"/>
      <x:c r="E227" s="10" t="n">
        <x:v>8</x:v>
      </x:c>
      <x:c r="F227" s="10"/>
      <x:c r="G227" s="10" t="str">
        <x:f>IF(F227="","",MIN(F227,E227))</x:f>
      </x:c>
      <x:c r="H227" s="10" t="str">
        <x:f>IF(F227="","",MAX(0,F227-E227))</x:f>
      </x:c>
      <x:c r="I227" s="24"/>
      <x:c r="J227" s="7"/>
      <x:c r="K227" s="8" t="str">
        <x:f>IF(A227="","",DATE(YEAR(A227),MONTH(A227),1))</x:f>
      </x:c>
    </x:row>
    <x:row r="228">
      <x:c r="A228" s="9"/>
      <x:c r="B228" s="7"/>
      <x:c r="C228" s="7" t="str">
        <x:f>IF(B228="","",XLOOKUP(B228,Employees!$A$4:$A$53,Employees!$B$4:$B$53,""))</x:f>
      </x:c>
      <x:c r="D228" s="7"/>
      <x:c r="E228" s="10" t="n">
        <x:v>8</x:v>
      </x:c>
      <x:c r="F228" s="10"/>
      <x:c r="G228" s="10" t="str">
        <x:f>IF(F228="","",MIN(F228,E228))</x:f>
      </x:c>
      <x:c r="H228" s="10" t="str">
        <x:f>IF(F228="","",MAX(0,F228-E228))</x:f>
      </x:c>
      <x:c r="I228" s="24"/>
      <x:c r="J228" s="7"/>
      <x:c r="K228" s="8" t="str">
        <x:f>IF(A228="","",DATE(YEAR(A228),MONTH(A228),1))</x:f>
      </x:c>
    </x:row>
    <x:row r="229">
      <x:c r="A229" s="9"/>
      <x:c r="B229" s="7"/>
      <x:c r="C229" s="7" t="str">
        <x:f>IF(B229="","",XLOOKUP(B229,Employees!$A$4:$A$53,Employees!$B$4:$B$53,""))</x:f>
      </x:c>
      <x:c r="D229" s="7"/>
      <x:c r="E229" s="10" t="n">
        <x:v>8</x:v>
      </x:c>
      <x:c r="F229" s="10"/>
      <x:c r="G229" s="10" t="str">
        <x:f>IF(F229="","",MIN(F229,E229))</x:f>
      </x:c>
      <x:c r="H229" s="10" t="str">
        <x:f>IF(F229="","",MAX(0,F229-E229))</x:f>
      </x:c>
      <x:c r="I229" s="24"/>
      <x:c r="J229" s="7"/>
      <x:c r="K229" s="8" t="str">
        <x:f>IF(A229="","",DATE(YEAR(A229),MONTH(A229),1))</x:f>
      </x:c>
    </x:row>
    <x:row r="230">
      <x:c r="A230" s="9"/>
      <x:c r="B230" s="7"/>
      <x:c r="C230" s="7" t="str">
        <x:f>IF(B230="","",XLOOKUP(B230,Employees!$A$4:$A$53,Employees!$B$4:$B$53,""))</x:f>
      </x:c>
      <x:c r="D230" s="7"/>
      <x:c r="E230" s="10" t="n">
        <x:v>8</x:v>
      </x:c>
      <x:c r="F230" s="10"/>
      <x:c r="G230" s="10" t="str">
        <x:f>IF(F230="","",MIN(F230,E230))</x:f>
      </x:c>
      <x:c r="H230" s="10" t="str">
        <x:f>IF(F230="","",MAX(0,F230-E230))</x:f>
      </x:c>
      <x:c r="I230" s="24"/>
      <x:c r="J230" s="7"/>
      <x:c r="K230" s="8" t="str">
        <x:f>IF(A230="","",DATE(YEAR(A230),MONTH(A230),1))</x:f>
      </x:c>
    </x:row>
    <x:row r="231">
      <x:c r="A231" s="9"/>
      <x:c r="B231" s="7"/>
      <x:c r="C231" s="7" t="str">
        <x:f>IF(B231="","",XLOOKUP(B231,Employees!$A$4:$A$53,Employees!$B$4:$B$53,""))</x:f>
      </x:c>
      <x:c r="D231" s="7"/>
      <x:c r="E231" s="10" t="n">
        <x:v>8</x:v>
      </x:c>
      <x:c r="F231" s="10"/>
      <x:c r="G231" s="10" t="str">
        <x:f>IF(F231="","",MIN(F231,E231))</x:f>
      </x:c>
      <x:c r="H231" s="10" t="str">
        <x:f>IF(F231="","",MAX(0,F231-E231))</x:f>
      </x:c>
      <x:c r="I231" s="24"/>
      <x:c r="J231" s="7"/>
      <x:c r="K231" s="8" t="str">
        <x:f>IF(A231="","",DATE(YEAR(A231),MONTH(A231),1))</x:f>
      </x:c>
    </x:row>
    <x:row r="232">
      <x:c r="A232" s="9"/>
      <x:c r="B232" s="7"/>
      <x:c r="C232" s="7" t="str">
        <x:f>IF(B232="","",XLOOKUP(B232,Employees!$A$4:$A$53,Employees!$B$4:$B$53,""))</x:f>
      </x:c>
      <x:c r="D232" s="7"/>
      <x:c r="E232" s="10" t="n">
        <x:v>8</x:v>
      </x:c>
      <x:c r="F232" s="10"/>
      <x:c r="G232" s="10" t="str">
        <x:f>IF(F232="","",MIN(F232,E232))</x:f>
      </x:c>
      <x:c r="H232" s="10" t="str">
        <x:f>IF(F232="","",MAX(0,F232-E232))</x:f>
      </x:c>
      <x:c r="I232" s="24"/>
      <x:c r="J232" s="7"/>
      <x:c r="K232" s="8" t="str">
        <x:f>IF(A232="","",DATE(YEAR(A232),MONTH(A232),1))</x:f>
      </x:c>
    </x:row>
    <x:row r="233">
      <x:c r="A233" s="9"/>
      <x:c r="B233" s="7"/>
      <x:c r="C233" s="7" t="str">
        <x:f>IF(B233="","",XLOOKUP(B233,Employees!$A$4:$A$53,Employees!$B$4:$B$53,""))</x:f>
      </x:c>
      <x:c r="D233" s="7"/>
      <x:c r="E233" s="10" t="n">
        <x:v>8</x:v>
      </x:c>
      <x:c r="F233" s="10"/>
      <x:c r="G233" s="10" t="str">
        <x:f>IF(F233="","",MIN(F233,E233))</x:f>
      </x:c>
      <x:c r="H233" s="10" t="str">
        <x:f>IF(F233="","",MAX(0,F233-E233))</x:f>
      </x:c>
      <x:c r="I233" s="24"/>
      <x:c r="J233" s="7"/>
      <x:c r="K233" s="8" t="str">
        <x:f>IF(A233="","",DATE(YEAR(A233),MONTH(A233),1))</x:f>
      </x:c>
    </x:row>
    <x:row r="234">
      <x:c r="A234" s="9"/>
      <x:c r="B234" s="7"/>
      <x:c r="C234" s="7" t="str">
        <x:f>IF(B234="","",XLOOKUP(B234,Employees!$A$4:$A$53,Employees!$B$4:$B$53,""))</x:f>
      </x:c>
      <x:c r="D234" s="7"/>
      <x:c r="E234" s="10" t="n">
        <x:v>8</x:v>
      </x:c>
      <x:c r="F234" s="10"/>
      <x:c r="G234" s="10" t="str">
        <x:f>IF(F234="","",MIN(F234,E234))</x:f>
      </x:c>
      <x:c r="H234" s="10" t="str">
        <x:f>IF(F234="","",MAX(0,F234-E234))</x:f>
      </x:c>
      <x:c r="I234" s="24"/>
      <x:c r="J234" s="7"/>
      <x:c r="K234" s="8" t="str">
        <x:f>IF(A234="","",DATE(YEAR(A234),MONTH(A234),1))</x:f>
      </x:c>
    </x:row>
    <x:row r="235">
      <x:c r="A235" s="9"/>
      <x:c r="B235" s="7"/>
      <x:c r="C235" s="7" t="str">
        <x:f>IF(B235="","",XLOOKUP(B235,Employees!$A$4:$A$53,Employees!$B$4:$B$53,""))</x:f>
      </x:c>
      <x:c r="D235" s="7"/>
      <x:c r="E235" s="10" t="n">
        <x:v>8</x:v>
      </x:c>
      <x:c r="F235" s="10"/>
      <x:c r="G235" s="10" t="str">
        <x:f>IF(F235="","",MIN(F235,E235))</x:f>
      </x:c>
      <x:c r="H235" s="10" t="str">
        <x:f>IF(F235="","",MAX(0,F235-E235))</x:f>
      </x:c>
      <x:c r="I235" s="24"/>
      <x:c r="J235" s="7"/>
      <x:c r="K235" s="8" t="str">
        <x:f>IF(A235="","",DATE(YEAR(A235),MONTH(A235),1))</x:f>
      </x:c>
    </x:row>
    <x:row r="236">
      <x:c r="A236" s="9"/>
      <x:c r="B236" s="7"/>
      <x:c r="C236" s="7" t="str">
        <x:f>IF(B236="","",XLOOKUP(B236,Employees!$A$4:$A$53,Employees!$B$4:$B$53,""))</x:f>
      </x:c>
      <x:c r="D236" s="7"/>
      <x:c r="E236" s="10" t="n">
        <x:v>8</x:v>
      </x:c>
      <x:c r="F236" s="10"/>
      <x:c r="G236" s="10" t="str">
        <x:f>IF(F236="","",MIN(F236,E236))</x:f>
      </x:c>
      <x:c r="H236" s="10" t="str">
        <x:f>IF(F236="","",MAX(0,F236-E236))</x:f>
      </x:c>
      <x:c r="I236" s="24"/>
      <x:c r="J236" s="7"/>
      <x:c r="K236" s="8" t="str">
        <x:f>IF(A236="","",DATE(YEAR(A236),MONTH(A236),1))</x:f>
      </x:c>
    </x:row>
    <x:row r="237">
      <x:c r="A237" s="9"/>
      <x:c r="B237" s="7"/>
      <x:c r="C237" s="7" t="str">
        <x:f>IF(B237="","",XLOOKUP(B237,Employees!$A$4:$A$53,Employees!$B$4:$B$53,""))</x:f>
      </x:c>
      <x:c r="D237" s="7"/>
      <x:c r="E237" s="10" t="n">
        <x:v>8</x:v>
      </x:c>
      <x:c r="F237" s="10"/>
      <x:c r="G237" s="10" t="str">
        <x:f>IF(F237="","",MIN(F237,E237))</x:f>
      </x:c>
      <x:c r="H237" s="10" t="str">
        <x:f>IF(F237="","",MAX(0,F237-E237))</x:f>
      </x:c>
      <x:c r="I237" s="24"/>
      <x:c r="J237" s="7"/>
      <x:c r="K237" s="8" t="str">
        <x:f>IF(A237="","",DATE(YEAR(A237),MONTH(A237),1))</x:f>
      </x:c>
    </x:row>
    <x:row r="238">
      <x:c r="A238" s="9"/>
      <x:c r="B238" s="7"/>
      <x:c r="C238" s="7" t="str">
        <x:f>IF(B238="","",XLOOKUP(B238,Employees!$A$4:$A$53,Employees!$B$4:$B$53,""))</x:f>
      </x:c>
      <x:c r="D238" s="7"/>
      <x:c r="E238" s="10" t="n">
        <x:v>8</x:v>
      </x:c>
      <x:c r="F238" s="10"/>
      <x:c r="G238" s="10" t="str">
        <x:f>IF(F238="","",MIN(F238,E238))</x:f>
      </x:c>
      <x:c r="H238" s="10" t="str">
        <x:f>IF(F238="","",MAX(0,F238-E238))</x:f>
      </x:c>
      <x:c r="I238" s="24"/>
      <x:c r="J238" s="7"/>
      <x:c r="K238" s="8" t="str">
        <x:f>IF(A238="","",DATE(YEAR(A238),MONTH(A238),1))</x:f>
      </x:c>
    </x:row>
    <x:row r="239">
      <x:c r="A239" s="9"/>
      <x:c r="B239" s="7"/>
      <x:c r="C239" s="7" t="str">
        <x:f>IF(B239="","",XLOOKUP(B239,Employees!$A$4:$A$53,Employees!$B$4:$B$53,""))</x:f>
      </x:c>
      <x:c r="D239" s="7"/>
      <x:c r="E239" s="10" t="n">
        <x:v>8</x:v>
      </x:c>
      <x:c r="F239" s="10"/>
      <x:c r="G239" s="10" t="str">
        <x:f>IF(F239="","",MIN(F239,E239))</x:f>
      </x:c>
      <x:c r="H239" s="10" t="str">
        <x:f>IF(F239="","",MAX(0,F239-E239))</x:f>
      </x:c>
      <x:c r="I239" s="24"/>
      <x:c r="J239" s="7"/>
      <x:c r="K239" s="8" t="str">
        <x:f>IF(A239="","",DATE(YEAR(A239),MONTH(A239),1))</x:f>
      </x:c>
    </x:row>
    <x:row r="240">
      <x:c r="A240" s="9"/>
      <x:c r="B240" s="7"/>
      <x:c r="C240" s="7" t="str">
        <x:f>IF(B240="","",XLOOKUP(B240,Employees!$A$4:$A$53,Employees!$B$4:$B$53,""))</x:f>
      </x:c>
      <x:c r="D240" s="7"/>
      <x:c r="E240" s="10" t="n">
        <x:v>8</x:v>
      </x:c>
      <x:c r="F240" s="10"/>
      <x:c r="G240" s="10" t="str">
        <x:f>IF(F240="","",MIN(F240,E240))</x:f>
      </x:c>
      <x:c r="H240" s="10" t="str">
        <x:f>IF(F240="","",MAX(0,F240-E240))</x:f>
      </x:c>
      <x:c r="I240" s="24"/>
      <x:c r="J240" s="7"/>
      <x:c r="K240" s="8" t="str">
        <x:f>IF(A240="","",DATE(YEAR(A240),MONTH(A240),1))</x:f>
      </x:c>
    </x:row>
    <x:row r="241">
      <x:c r="A241" s="9"/>
      <x:c r="B241" s="7"/>
      <x:c r="C241" s="7" t="str">
        <x:f>IF(B241="","",XLOOKUP(B241,Employees!$A$4:$A$53,Employees!$B$4:$B$53,""))</x:f>
      </x:c>
      <x:c r="D241" s="7"/>
      <x:c r="E241" s="10" t="n">
        <x:v>8</x:v>
      </x:c>
      <x:c r="F241" s="10"/>
      <x:c r="G241" s="10" t="str">
        <x:f>IF(F241="","",MIN(F241,E241))</x:f>
      </x:c>
      <x:c r="H241" s="10" t="str">
        <x:f>IF(F241="","",MAX(0,F241-E241))</x:f>
      </x:c>
      <x:c r="I241" s="24"/>
      <x:c r="J241" s="7"/>
      <x:c r="K241" s="8" t="str">
        <x:f>IF(A241="","",DATE(YEAR(A241),MONTH(A241),1))</x:f>
      </x:c>
    </x:row>
    <x:row r="242">
      <x:c r="A242" s="9"/>
      <x:c r="B242" s="7"/>
      <x:c r="C242" s="7" t="str">
        <x:f>IF(B242="","",XLOOKUP(B242,Employees!$A$4:$A$53,Employees!$B$4:$B$53,""))</x:f>
      </x:c>
      <x:c r="D242" s="7"/>
      <x:c r="E242" s="10" t="n">
        <x:v>8</x:v>
      </x:c>
      <x:c r="F242" s="10"/>
      <x:c r="G242" s="10" t="str">
        <x:f>IF(F242="","",MIN(F242,E242))</x:f>
      </x:c>
      <x:c r="H242" s="10" t="str">
        <x:f>IF(F242="","",MAX(0,F242-E242))</x:f>
      </x:c>
      <x:c r="I242" s="24"/>
      <x:c r="J242" s="7"/>
      <x:c r="K242" s="8" t="str">
        <x:f>IF(A242="","",DATE(YEAR(A242),MONTH(A242),1))</x:f>
      </x:c>
    </x:row>
    <x:row r="243">
      <x:c r="A243" s="9"/>
      <x:c r="B243" s="7"/>
      <x:c r="C243" s="7" t="str">
        <x:f>IF(B243="","",XLOOKUP(B243,Employees!$A$4:$A$53,Employees!$B$4:$B$53,""))</x:f>
      </x:c>
      <x:c r="D243" s="7"/>
      <x:c r="E243" s="10" t="n">
        <x:v>8</x:v>
      </x:c>
      <x:c r="F243" s="10"/>
      <x:c r="G243" s="10" t="str">
        <x:f>IF(F243="","",MIN(F243,E243))</x:f>
      </x:c>
      <x:c r="H243" s="10" t="str">
        <x:f>IF(F243="","",MAX(0,F243-E243))</x:f>
      </x:c>
      <x:c r="I243" s="24"/>
      <x:c r="J243" s="7"/>
      <x:c r="K243" s="8" t="str">
        <x:f>IF(A243="","",DATE(YEAR(A243),MONTH(A243),1))</x:f>
      </x:c>
    </x:row>
    <x:row r="244">
      <x:c r="A244" s="9"/>
      <x:c r="B244" s="7"/>
      <x:c r="C244" s="7" t="str">
        <x:f>IF(B244="","",XLOOKUP(B244,Employees!$A$4:$A$53,Employees!$B$4:$B$53,""))</x:f>
      </x:c>
      <x:c r="D244" s="7"/>
      <x:c r="E244" s="10" t="n">
        <x:v>8</x:v>
      </x:c>
      <x:c r="F244" s="10"/>
      <x:c r="G244" s="10" t="str">
        <x:f>IF(F244="","",MIN(F244,E244))</x:f>
      </x:c>
      <x:c r="H244" s="10" t="str">
        <x:f>IF(F244="","",MAX(0,F244-E244))</x:f>
      </x:c>
      <x:c r="I244" s="24"/>
      <x:c r="J244" s="7"/>
      <x:c r="K244" s="8" t="str">
        <x:f>IF(A244="","",DATE(YEAR(A244),MONTH(A244),1))</x:f>
      </x:c>
    </x:row>
    <x:row r="245">
      <x:c r="A245" s="9"/>
      <x:c r="B245" s="7"/>
      <x:c r="C245" s="7" t="str">
        <x:f>IF(B245="","",XLOOKUP(B245,Employees!$A$4:$A$53,Employees!$B$4:$B$53,""))</x:f>
      </x:c>
      <x:c r="D245" s="7"/>
      <x:c r="E245" s="10" t="n">
        <x:v>8</x:v>
      </x:c>
      <x:c r="F245" s="10"/>
      <x:c r="G245" s="10" t="str">
        <x:f>IF(F245="","",MIN(F245,E245))</x:f>
      </x:c>
      <x:c r="H245" s="10" t="str">
        <x:f>IF(F245="","",MAX(0,F245-E245))</x:f>
      </x:c>
      <x:c r="I245" s="24"/>
      <x:c r="J245" s="7"/>
      <x:c r="K245" s="8" t="str">
        <x:f>IF(A245="","",DATE(YEAR(A245),MONTH(A245),1))</x:f>
      </x:c>
    </x:row>
    <x:row r="246">
      <x:c r="A246" s="9"/>
      <x:c r="B246" s="7"/>
      <x:c r="C246" s="7" t="str">
        <x:f>IF(B246="","",XLOOKUP(B246,Employees!$A$4:$A$53,Employees!$B$4:$B$53,""))</x:f>
      </x:c>
      <x:c r="D246" s="7"/>
      <x:c r="E246" s="10" t="n">
        <x:v>8</x:v>
      </x:c>
      <x:c r="F246" s="10"/>
      <x:c r="G246" s="10" t="str">
        <x:f>IF(F246="","",MIN(F246,E246))</x:f>
      </x:c>
      <x:c r="H246" s="10" t="str">
        <x:f>IF(F246="","",MAX(0,F246-E246))</x:f>
      </x:c>
      <x:c r="I246" s="24"/>
      <x:c r="J246" s="7"/>
      <x:c r="K246" s="8" t="str">
        <x:f>IF(A246="","",DATE(YEAR(A246),MONTH(A246),1))</x:f>
      </x:c>
    </x:row>
    <x:row r="247">
      <x:c r="A247" s="9"/>
      <x:c r="B247" s="7"/>
      <x:c r="C247" s="7" t="str">
        <x:f>IF(B247="","",XLOOKUP(B247,Employees!$A$4:$A$53,Employees!$B$4:$B$53,""))</x:f>
      </x:c>
      <x:c r="D247" s="7"/>
      <x:c r="E247" s="10" t="n">
        <x:v>8</x:v>
      </x:c>
      <x:c r="F247" s="10"/>
      <x:c r="G247" s="10" t="str">
        <x:f>IF(F247="","",MIN(F247,E247))</x:f>
      </x:c>
      <x:c r="H247" s="10" t="str">
        <x:f>IF(F247="","",MAX(0,F247-E247))</x:f>
      </x:c>
      <x:c r="I247" s="24"/>
      <x:c r="J247" s="7"/>
      <x:c r="K247" s="8" t="str">
        <x:f>IF(A247="","",DATE(YEAR(A247),MONTH(A247),1))</x:f>
      </x:c>
    </x:row>
    <x:row r="248">
      <x:c r="A248" s="9"/>
      <x:c r="B248" s="7"/>
      <x:c r="C248" s="7" t="str">
        <x:f>IF(B248="","",XLOOKUP(B248,Employees!$A$4:$A$53,Employees!$B$4:$B$53,""))</x:f>
      </x:c>
      <x:c r="D248" s="7"/>
      <x:c r="E248" s="10" t="n">
        <x:v>8</x:v>
      </x:c>
      <x:c r="F248" s="10"/>
      <x:c r="G248" s="10" t="str">
        <x:f>IF(F248="","",MIN(F248,E248))</x:f>
      </x:c>
      <x:c r="H248" s="10" t="str">
        <x:f>IF(F248="","",MAX(0,F248-E248))</x:f>
      </x:c>
      <x:c r="I248" s="24"/>
      <x:c r="J248" s="7"/>
      <x:c r="K248" s="8" t="str">
        <x:f>IF(A248="","",DATE(YEAR(A248),MONTH(A248),1))</x:f>
      </x:c>
    </x:row>
    <x:row r="249">
      <x:c r="A249" s="9"/>
      <x:c r="B249" s="7"/>
      <x:c r="C249" s="7" t="str">
        <x:f>IF(B249="","",XLOOKUP(B249,Employees!$A$4:$A$53,Employees!$B$4:$B$53,""))</x:f>
      </x:c>
      <x:c r="D249" s="7"/>
      <x:c r="E249" s="10" t="n">
        <x:v>8</x:v>
      </x:c>
      <x:c r="F249" s="10"/>
      <x:c r="G249" s="10" t="str">
        <x:f>IF(F249="","",MIN(F249,E249))</x:f>
      </x:c>
      <x:c r="H249" s="10" t="str">
        <x:f>IF(F249="","",MAX(0,F249-E249))</x:f>
      </x:c>
      <x:c r="I249" s="24"/>
      <x:c r="J249" s="7"/>
      <x:c r="K249" s="8" t="str">
        <x:f>IF(A249="","",DATE(YEAR(A249),MONTH(A249),1))</x:f>
      </x:c>
    </x:row>
    <x:row r="250">
      <x:c r="A250" s="9"/>
      <x:c r="B250" s="7"/>
      <x:c r="C250" s="7" t="str">
        <x:f>IF(B250="","",XLOOKUP(B250,Employees!$A$4:$A$53,Employees!$B$4:$B$53,""))</x:f>
      </x:c>
      <x:c r="D250" s="7"/>
      <x:c r="E250" s="10" t="n">
        <x:v>8</x:v>
      </x:c>
      <x:c r="F250" s="10"/>
      <x:c r="G250" s="10" t="str">
        <x:f>IF(F250="","",MIN(F250,E250))</x:f>
      </x:c>
      <x:c r="H250" s="10" t="str">
        <x:f>IF(F250="","",MAX(0,F250-E250))</x:f>
      </x:c>
      <x:c r="I250" s="24"/>
      <x:c r="J250" s="7"/>
      <x:c r="K250" s="8" t="str">
        <x:f>IF(A250="","",DATE(YEAR(A250),MONTH(A250),1))</x:f>
      </x:c>
    </x:row>
    <x:row r="251">
      <x:c r="A251" s="9"/>
      <x:c r="B251" s="7"/>
      <x:c r="C251" s="7" t="str">
        <x:f>IF(B251="","",XLOOKUP(B251,Employees!$A$4:$A$53,Employees!$B$4:$B$53,""))</x:f>
      </x:c>
      <x:c r="D251" s="7"/>
      <x:c r="E251" s="10" t="n">
        <x:v>8</x:v>
      </x:c>
      <x:c r="F251" s="10"/>
      <x:c r="G251" s="10" t="str">
        <x:f>IF(F251="","",MIN(F251,E251))</x:f>
      </x:c>
      <x:c r="H251" s="10" t="str">
        <x:f>IF(F251="","",MAX(0,F251-E251))</x:f>
      </x:c>
      <x:c r="I251" s="24"/>
      <x:c r="J251" s="7"/>
      <x:c r="K251" s="8" t="str">
        <x:f>IF(A251="","",DATE(YEAR(A251),MONTH(A251),1))</x:f>
      </x:c>
    </x:row>
    <x:row r="252">
      <x:c r="A252" s="9"/>
      <x:c r="B252" s="7"/>
      <x:c r="C252" s="7" t="str">
        <x:f>IF(B252="","",XLOOKUP(B252,Employees!$A$4:$A$53,Employees!$B$4:$B$53,""))</x:f>
      </x:c>
      <x:c r="D252" s="7"/>
      <x:c r="E252" s="10" t="n">
        <x:v>8</x:v>
      </x:c>
      <x:c r="F252" s="10"/>
      <x:c r="G252" s="10" t="str">
        <x:f>IF(F252="","",MIN(F252,E252))</x:f>
      </x:c>
      <x:c r="H252" s="10" t="str">
        <x:f>IF(F252="","",MAX(0,F252-E252))</x:f>
      </x:c>
      <x:c r="I252" s="24"/>
      <x:c r="J252" s="7"/>
      <x:c r="K252" s="8" t="str">
        <x:f>IF(A252="","",DATE(YEAR(A252),MONTH(A252),1))</x:f>
      </x:c>
    </x:row>
    <x:row r="253">
      <x:c r="A253" s="9"/>
      <x:c r="B253" s="7"/>
      <x:c r="C253" s="7" t="str">
        <x:f>IF(B253="","",XLOOKUP(B253,Employees!$A$4:$A$53,Employees!$B$4:$B$53,""))</x:f>
      </x:c>
      <x:c r="D253" s="7"/>
      <x:c r="E253" s="10" t="n">
        <x:v>8</x:v>
      </x:c>
      <x:c r="F253" s="10"/>
      <x:c r="G253" s="10" t="str">
        <x:f>IF(F253="","",MIN(F253,E253))</x:f>
      </x:c>
      <x:c r="H253" s="10" t="str">
        <x:f>IF(F253="","",MAX(0,F253-E253))</x:f>
      </x:c>
      <x:c r="I253" s="24"/>
      <x:c r="J253" s="7"/>
      <x:c r="K253" s="8" t="str">
        <x:f>IF(A253="","",DATE(YEAR(A253),MONTH(A253),1))</x:f>
      </x:c>
    </x:row>
    <x:row r="254">
      <x:c r="A254" s="9"/>
      <x:c r="B254" s="7"/>
      <x:c r="C254" s="7" t="str">
        <x:f>IF(B254="","",XLOOKUP(B254,Employees!$A$4:$A$53,Employees!$B$4:$B$53,""))</x:f>
      </x:c>
      <x:c r="D254" s="7"/>
      <x:c r="E254" s="10" t="n">
        <x:v>8</x:v>
      </x:c>
      <x:c r="F254" s="10"/>
      <x:c r="G254" s="10" t="str">
        <x:f>IF(F254="","",MIN(F254,E254))</x:f>
      </x:c>
      <x:c r="H254" s="10" t="str">
        <x:f>IF(F254="","",MAX(0,F254-E254))</x:f>
      </x:c>
      <x:c r="I254" s="24"/>
      <x:c r="J254" s="7"/>
      <x:c r="K254" s="8" t="str">
        <x:f>IF(A254="","",DATE(YEAR(A254),MONTH(A254),1))</x:f>
      </x:c>
    </x:row>
    <x:row r="255">
      <x:c r="A255" s="9"/>
      <x:c r="B255" s="7"/>
      <x:c r="C255" s="7" t="str">
        <x:f>IF(B255="","",XLOOKUP(B255,Employees!$A$4:$A$53,Employees!$B$4:$B$53,""))</x:f>
      </x:c>
      <x:c r="D255" s="7"/>
      <x:c r="E255" s="10" t="n">
        <x:v>8</x:v>
      </x:c>
      <x:c r="F255" s="10"/>
      <x:c r="G255" s="10" t="str">
        <x:f>IF(F255="","",MIN(F255,E255))</x:f>
      </x:c>
      <x:c r="H255" s="10" t="str">
        <x:f>IF(F255="","",MAX(0,F255-E255))</x:f>
      </x:c>
      <x:c r="I255" s="24"/>
      <x:c r="J255" s="7"/>
      <x:c r="K255" s="8" t="str">
        <x:f>IF(A255="","",DATE(YEAR(A255),MONTH(A255),1))</x:f>
      </x:c>
    </x:row>
    <x:row r="256">
      <x:c r="A256" s="9"/>
      <x:c r="B256" s="7"/>
      <x:c r="C256" s="7" t="str">
        <x:f>IF(B256="","",XLOOKUP(B256,Employees!$A$4:$A$53,Employees!$B$4:$B$53,""))</x:f>
      </x:c>
      <x:c r="D256" s="7"/>
      <x:c r="E256" s="10" t="n">
        <x:v>8</x:v>
      </x:c>
      <x:c r="F256" s="10"/>
      <x:c r="G256" s="10" t="str">
        <x:f>IF(F256="","",MIN(F256,E256))</x:f>
      </x:c>
      <x:c r="H256" s="10" t="str">
        <x:f>IF(F256="","",MAX(0,F256-E256))</x:f>
      </x:c>
      <x:c r="I256" s="24"/>
      <x:c r="J256" s="7"/>
      <x:c r="K256" s="8" t="str">
        <x:f>IF(A256="","",DATE(YEAR(A256),MONTH(A256),1))</x:f>
      </x:c>
    </x:row>
    <x:row r="257">
      <x:c r="A257" s="9"/>
      <x:c r="B257" s="7"/>
      <x:c r="C257" s="7" t="str">
        <x:f>IF(B257="","",XLOOKUP(B257,Employees!$A$4:$A$53,Employees!$B$4:$B$53,""))</x:f>
      </x:c>
      <x:c r="D257" s="7"/>
      <x:c r="E257" s="10" t="n">
        <x:v>8</x:v>
      </x:c>
      <x:c r="F257" s="10"/>
      <x:c r="G257" s="10" t="str">
        <x:f>IF(F257="","",MIN(F257,E257))</x:f>
      </x:c>
      <x:c r="H257" s="10" t="str">
        <x:f>IF(F257="","",MAX(0,F257-E257))</x:f>
      </x:c>
      <x:c r="I257" s="24"/>
      <x:c r="J257" s="7"/>
      <x:c r="K257" s="8" t="str">
        <x:f>IF(A257="","",DATE(YEAR(A257),MONTH(A257),1))</x:f>
      </x:c>
    </x:row>
    <x:row r="258">
      <x:c r="A258" s="9"/>
      <x:c r="B258" s="7"/>
      <x:c r="C258" s="7" t="str">
        <x:f>IF(B258="","",XLOOKUP(B258,Employees!$A$4:$A$53,Employees!$B$4:$B$53,""))</x:f>
      </x:c>
      <x:c r="D258" s="7"/>
      <x:c r="E258" s="10" t="n">
        <x:v>8</x:v>
      </x:c>
      <x:c r="F258" s="10"/>
      <x:c r="G258" s="10" t="str">
        <x:f>IF(F258="","",MIN(F258,E258))</x:f>
      </x:c>
      <x:c r="H258" s="10" t="str">
        <x:f>IF(F258="","",MAX(0,F258-E258))</x:f>
      </x:c>
      <x:c r="I258" s="24"/>
      <x:c r="J258" s="7"/>
      <x:c r="K258" s="8" t="str">
        <x:f>IF(A258="","",DATE(YEAR(A258),MONTH(A258),1))</x:f>
      </x:c>
    </x:row>
    <x:row r="259">
      <x:c r="A259" s="9"/>
      <x:c r="B259" s="7"/>
      <x:c r="C259" s="7" t="str">
        <x:f>IF(B259="","",XLOOKUP(B259,Employees!$A$4:$A$53,Employees!$B$4:$B$53,""))</x:f>
      </x:c>
      <x:c r="D259" s="7"/>
      <x:c r="E259" s="10" t="n">
        <x:v>8</x:v>
      </x:c>
      <x:c r="F259" s="10"/>
      <x:c r="G259" s="10" t="str">
        <x:f>IF(F259="","",MIN(F259,E259))</x:f>
      </x:c>
      <x:c r="H259" s="10" t="str">
        <x:f>IF(F259="","",MAX(0,F259-E259))</x:f>
      </x:c>
      <x:c r="I259" s="24"/>
      <x:c r="J259" s="7"/>
      <x:c r="K259" s="8" t="str">
        <x:f>IF(A259="","",DATE(YEAR(A259),MONTH(A259),1))</x:f>
      </x:c>
    </x:row>
    <x:row r="260">
      <x:c r="A260" s="9"/>
      <x:c r="B260" s="7"/>
      <x:c r="C260" s="7" t="str">
        <x:f>IF(B260="","",XLOOKUP(B260,Employees!$A$4:$A$53,Employees!$B$4:$B$53,""))</x:f>
      </x:c>
      <x:c r="D260" s="7"/>
      <x:c r="E260" s="10" t="n">
        <x:v>8</x:v>
      </x:c>
      <x:c r="F260" s="10"/>
      <x:c r="G260" s="10" t="str">
        <x:f>IF(F260="","",MIN(F260,E260))</x:f>
      </x:c>
      <x:c r="H260" s="10" t="str">
        <x:f>IF(F260="","",MAX(0,F260-E260))</x:f>
      </x:c>
      <x:c r="I260" s="24"/>
      <x:c r="J260" s="7"/>
      <x:c r="K260" s="8" t="str">
        <x:f>IF(A260="","",DATE(YEAR(A260),MONTH(A260),1))</x:f>
      </x:c>
    </x:row>
    <x:row r="261">
      <x:c r="A261" s="9"/>
      <x:c r="B261" s="7"/>
      <x:c r="C261" s="7" t="str">
        <x:f>IF(B261="","",XLOOKUP(B261,Employees!$A$4:$A$53,Employees!$B$4:$B$53,""))</x:f>
      </x:c>
      <x:c r="D261" s="7"/>
      <x:c r="E261" s="10" t="n">
        <x:v>8</x:v>
      </x:c>
      <x:c r="F261" s="10"/>
      <x:c r="G261" s="10" t="str">
        <x:f>IF(F261="","",MIN(F261,E261))</x:f>
      </x:c>
      <x:c r="H261" s="10" t="str">
        <x:f>IF(F261="","",MAX(0,F261-E261))</x:f>
      </x:c>
      <x:c r="I261" s="24"/>
      <x:c r="J261" s="7"/>
      <x:c r="K261" s="8" t="str">
        <x:f>IF(A261="","",DATE(YEAR(A261),MONTH(A261),1))</x:f>
      </x:c>
    </x:row>
    <x:row r="262">
      <x:c r="A262" s="9"/>
      <x:c r="B262" s="7"/>
      <x:c r="C262" s="7" t="str">
        <x:f>IF(B262="","",XLOOKUP(B262,Employees!$A$4:$A$53,Employees!$B$4:$B$53,""))</x:f>
      </x:c>
      <x:c r="D262" s="7"/>
      <x:c r="E262" s="10" t="n">
        <x:v>8</x:v>
      </x:c>
      <x:c r="F262" s="10"/>
      <x:c r="G262" s="10" t="str">
        <x:f>IF(F262="","",MIN(F262,E262))</x:f>
      </x:c>
      <x:c r="H262" s="10" t="str">
        <x:f>IF(F262="","",MAX(0,F262-E262))</x:f>
      </x:c>
      <x:c r="I262" s="24"/>
      <x:c r="J262" s="7"/>
      <x:c r="K262" s="8" t="str">
        <x:f>IF(A262="","",DATE(YEAR(A262),MONTH(A262),1))</x:f>
      </x:c>
    </x:row>
    <x:row r="263">
      <x:c r="A263" s="9"/>
      <x:c r="B263" s="7"/>
      <x:c r="C263" s="7" t="str">
        <x:f>IF(B263="","",XLOOKUP(B263,Employees!$A$4:$A$53,Employees!$B$4:$B$53,""))</x:f>
      </x:c>
      <x:c r="D263" s="7"/>
      <x:c r="E263" s="10" t="n">
        <x:v>8</x:v>
      </x:c>
      <x:c r="F263" s="10"/>
      <x:c r="G263" s="10" t="str">
        <x:f>IF(F263="","",MIN(F263,E263))</x:f>
      </x:c>
      <x:c r="H263" s="10" t="str">
        <x:f>IF(F263="","",MAX(0,F263-E263))</x:f>
      </x:c>
      <x:c r="I263" s="24"/>
      <x:c r="J263" s="7"/>
      <x:c r="K263" s="8" t="str">
        <x:f>IF(A263="","",DATE(YEAR(A263),MONTH(A263),1))</x:f>
      </x:c>
    </x:row>
    <x:row r="264">
      <x:c r="A264" s="9"/>
      <x:c r="B264" s="7"/>
      <x:c r="C264" s="7" t="str">
        <x:f>IF(B264="","",XLOOKUP(B264,Employees!$A$4:$A$53,Employees!$B$4:$B$53,""))</x:f>
      </x:c>
      <x:c r="D264" s="7"/>
      <x:c r="E264" s="10" t="n">
        <x:v>8</x:v>
      </x:c>
      <x:c r="F264" s="10"/>
      <x:c r="G264" s="10" t="str">
        <x:f>IF(F264="","",MIN(F264,E264))</x:f>
      </x:c>
      <x:c r="H264" s="10" t="str">
        <x:f>IF(F264="","",MAX(0,F264-E264))</x:f>
      </x:c>
      <x:c r="I264" s="24"/>
      <x:c r="J264" s="7"/>
      <x:c r="K264" s="8" t="str">
        <x:f>IF(A264="","",DATE(YEAR(A264),MONTH(A264),1))</x:f>
      </x:c>
    </x:row>
    <x:row r="265">
      <x:c r="A265" s="9"/>
      <x:c r="B265" s="7"/>
      <x:c r="C265" s="7" t="str">
        <x:f>IF(B265="","",XLOOKUP(B265,Employees!$A$4:$A$53,Employees!$B$4:$B$53,""))</x:f>
      </x:c>
      <x:c r="D265" s="7"/>
      <x:c r="E265" s="10" t="n">
        <x:v>8</x:v>
      </x:c>
      <x:c r="F265" s="10"/>
      <x:c r="G265" s="10" t="str">
        <x:f>IF(F265="","",MIN(F265,E265))</x:f>
      </x:c>
      <x:c r="H265" s="10" t="str">
        <x:f>IF(F265="","",MAX(0,F265-E265))</x:f>
      </x:c>
      <x:c r="I265" s="24"/>
      <x:c r="J265" s="7"/>
      <x:c r="K265" s="8" t="str">
        <x:f>IF(A265="","",DATE(YEAR(A265),MONTH(A265),1))</x:f>
      </x:c>
    </x:row>
    <x:row r="266">
      <x:c r="A266" s="9"/>
      <x:c r="B266" s="7"/>
      <x:c r="C266" s="7" t="str">
        <x:f>IF(B266="","",XLOOKUP(B266,Employees!$A$4:$A$53,Employees!$B$4:$B$53,""))</x:f>
      </x:c>
      <x:c r="D266" s="7"/>
      <x:c r="E266" s="10" t="n">
        <x:v>8</x:v>
      </x:c>
      <x:c r="F266" s="10"/>
      <x:c r="G266" s="10" t="str">
        <x:f>IF(F266="","",MIN(F266,E266))</x:f>
      </x:c>
      <x:c r="H266" s="10" t="str">
        <x:f>IF(F266="","",MAX(0,F266-E266))</x:f>
      </x:c>
      <x:c r="I266" s="24"/>
      <x:c r="J266" s="7"/>
      <x:c r="K266" s="8" t="str">
        <x:f>IF(A266="","",DATE(YEAR(A266),MONTH(A266),1))</x:f>
      </x:c>
    </x:row>
    <x:row r="267">
      <x:c r="A267" s="9"/>
      <x:c r="B267" s="7"/>
      <x:c r="C267" s="7" t="str">
        <x:f>IF(B267="","",XLOOKUP(B267,Employees!$A$4:$A$53,Employees!$B$4:$B$53,""))</x:f>
      </x:c>
      <x:c r="D267" s="7"/>
      <x:c r="E267" s="10" t="n">
        <x:v>8</x:v>
      </x:c>
      <x:c r="F267" s="10"/>
      <x:c r="G267" s="10" t="str">
        <x:f>IF(F267="","",MIN(F267,E267))</x:f>
      </x:c>
      <x:c r="H267" s="10" t="str">
        <x:f>IF(F267="","",MAX(0,F267-E267))</x:f>
      </x:c>
      <x:c r="I267" s="24"/>
      <x:c r="J267" s="7"/>
      <x:c r="K267" s="8" t="str">
        <x:f>IF(A267="","",DATE(YEAR(A267),MONTH(A267),1))</x:f>
      </x:c>
    </x:row>
    <x:row r="268">
      <x:c r="A268" s="9"/>
      <x:c r="B268" s="7"/>
      <x:c r="C268" s="7" t="str">
        <x:f>IF(B268="","",XLOOKUP(B268,Employees!$A$4:$A$53,Employees!$B$4:$B$53,""))</x:f>
      </x:c>
      <x:c r="D268" s="7"/>
      <x:c r="E268" s="10" t="n">
        <x:v>8</x:v>
      </x:c>
      <x:c r="F268" s="10"/>
      <x:c r="G268" s="10" t="str">
        <x:f>IF(F268="","",MIN(F268,E268))</x:f>
      </x:c>
      <x:c r="H268" s="10" t="str">
        <x:f>IF(F268="","",MAX(0,F268-E268))</x:f>
      </x:c>
      <x:c r="I268" s="24"/>
      <x:c r="J268" s="7"/>
      <x:c r="K268" s="8" t="str">
        <x:f>IF(A268="","",DATE(YEAR(A268),MONTH(A268),1))</x:f>
      </x:c>
    </x:row>
    <x:row r="269">
      <x:c r="A269" s="9"/>
      <x:c r="B269" s="7"/>
      <x:c r="C269" s="7" t="str">
        <x:f>IF(B269="","",XLOOKUP(B269,Employees!$A$4:$A$53,Employees!$B$4:$B$53,""))</x:f>
      </x:c>
      <x:c r="D269" s="7"/>
      <x:c r="E269" s="10" t="n">
        <x:v>8</x:v>
      </x:c>
      <x:c r="F269" s="10"/>
      <x:c r="G269" s="10" t="str">
        <x:f>IF(F269="","",MIN(F269,E269))</x:f>
      </x:c>
      <x:c r="H269" s="10" t="str">
        <x:f>IF(F269="","",MAX(0,F269-E269))</x:f>
      </x:c>
      <x:c r="I269" s="24"/>
      <x:c r="J269" s="7"/>
      <x:c r="K269" s="8" t="str">
        <x:f>IF(A269="","",DATE(YEAR(A269),MONTH(A269),1))</x:f>
      </x:c>
    </x:row>
    <x:row r="270">
      <x:c r="A270" s="9"/>
      <x:c r="B270" s="7"/>
      <x:c r="C270" s="7" t="str">
        <x:f>IF(B270="","",XLOOKUP(B270,Employees!$A$4:$A$53,Employees!$B$4:$B$53,""))</x:f>
      </x:c>
      <x:c r="D270" s="7"/>
      <x:c r="E270" s="10" t="n">
        <x:v>8</x:v>
      </x:c>
      <x:c r="F270" s="10"/>
      <x:c r="G270" s="10" t="str">
        <x:f>IF(F270="","",MIN(F270,E270))</x:f>
      </x:c>
      <x:c r="H270" s="10" t="str">
        <x:f>IF(F270="","",MAX(0,F270-E270))</x:f>
      </x:c>
      <x:c r="I270" s="24"/>
      <x:c r="J270" s="7"/>
      <x:c r="K270" s="8" t="str">
        <x:f>IF(A270="","",DATE(YEAR(A270),MONTH(A270),1))</x:f>
      </x:c>
    </x:row>
    <x:row r="271">
      <x:c r="A271" s="9"/>
      <x:c r="B271" s="7"/>
      <x:c r="C271" s="7" t="str">
        <x:f>IF(B271="","",XLOOKUP(B271,Employees!$A$4:$A$53,Employees!$B$4:$B$53,""))</x:f>
      </x:c>
      <x:c r="D271" s="7"/>
      <x:c r="E271" s="10" t="n">
        <x:v>8</x:v>
      </x:c>
      <x:c r="F271" s="10"/>
      <x:c r="G271" s="10" t="str">
        <x:f>IF(F271="","",MIN(F271,E271))</x:f>
      </x:c>
      <x:c r="H271" s="10" t="str">
        <x:f>IF(F271="","",MAX(0,F271-E271))</x:f>
      </x:c>
      <x:c r="I271" s="24"/>
      <x:c r="J271" s="7"/>
      <x:c r="K271" s="8" t="str">
        <x:f>IF(A271="","",DATE(YEAR(A271),MONTH(A271),1))</x:f>
      </x:c>
    </x:row>
    <x:row r="272">
      <x:c r="A272" s="9"/>
      <x:c r="B272" s="7"/>
      <x:c r="C272" s="7" t="str">
        <x:f>IF(B272="","",XLOOKUP(B272,Employees!$A$4:$A$53,Employees!$B$4:$B$53,""))</x:f>
      </x:c>
      <x:c r="D272" s="7"/>
      <x:c r="E272" s="10" t="n">
        <x:v>8</x:v>
      </x:c>
      <x:c r="F272" s="10"/>
      <x:c r="G272" s="10" t="str">
        <x:f>IF(F272="","",MIN(F272,E272))</x:f>
      </x:c>
      <x:c r="H272" s="10" t="str">
        <x:f>IF(F272="","",MAX(0,F272-E272))</x:f>
      </x:c>
      <x:c r="I272" s="24"/>
      <x:c r="J272" s="7"/>
      <x:c r="K272" s="8" t="str">
        <x:f>IF(A272="","",DATE(YEAR(A272),MONTH(A272),1))</x:f>
      </x:c>
    </x:row>
    <x:row r="273">
      <x:c r="A273" s="9"/>
      <x:c r="B273" s="7"/>
      <x:c r="C273" s="7" t="str">
        <x:f>IF(B273="","",XLOOKUP(B273,Employees!$A$4:$A$53,Employees!$B$4:$B$53,""))</x:f>
      </x:c>
      <x:c r="D273" s="7"/>
      <x:c r="E273" s="10" t="n">
        <x:v>8</x:v>
      </x:c>
      <x:c r="F273" s="10"/>
      <x:c r="G273" s="10" t="str">
        <x:f>IF(F273="","",MIN(F273,E273))</x:f>
      </x:c>
      <x:c r="H273" s="10" t="str">
        <x:f>IF(F273="","",MAX(0,F273-E273))</x:f>
      </x:c>
      <x:c r="I273" s="24"/>
      <x:c r="J273" s="7"/>
      <x:c r="K273" s="8" t="str">
        <x:f>IF(A273="","",DATE(YEAR(A273),MONTH(A273),1))</x:f>
      </x:c>
    </x:row>
    <x:row r="274">
      <x:c r="A274" s="9"/>
      <x:c r="B274" s="7"/>
      <x:c r="C274" s="7" t="str">
        <x:f>IF(B274="","",XLOOKUP(B274,Employees!$A$4:$A$53,Employees!$B$4:$B$53,""))</x:f>
      </x:c>
      <x:c r="D274" s="7"/>
      <x:c r="E274" s="10" t="n">
        <x:v>8</x:v>
      </x:c>
      <x:c r="F274" s="10"/>
      <x:c r="G274" s="10" t="str">
        <x:f>IF(F274="","",MIN(F274,E274))</x:f>
      </x:c>
      <x:c r="H274" s="10" t="str">
        <x:f>IF(F274="","",MAX(0,F274-E274))</x:f>
      </x:c>
      <x:c r="I274" s="24"/>
      <x:c r="J274" s="7"/>
      <x:c r="K274" s="8" t="str">
        <x:f>IF(A274="","",DATE(YEAR(A274),MONTH(A274),1))</x:f>
      </x:c>
    </x:row>
    <x:row r="275">
      <x:c r="A275" s="9"/>
      <x:c r="B275" s="7"/>
      <x:c r="C275" s="7" t="str">
        <x:f>IF(B275="","",XLOOKUP(B275,Employees!$A$4:$A$53,Employees!$B$4:$B$53,""))</x:f>
      </x:c>
      <x:c r="D275" s="7"/>
      <x:c r="E275" s="10" t="n">
        <x:v>8</x:v>
      </x:c>
      <x:c r="F275" s="10"/>
      <x:c r="G275" s="10" t="str">
        <x:f>IF(F275="","",MIN(F275,E275))</x:f>
      </x:c>
      <x:c r="H275" s="10" t="str">
        <x:f>IF(F275="","",MAX(0,F275-E275))</x:f>
      </x:c>
      <x:c r="I275" s="24"/>
      <x:c r="J275" s="7"/>
      <x:c r="K275" s="8" t="str">
        <x:f>IF(A275="","",DATE(YEAR(A275),MONTH(A275),1))</x:f>
      </x:c>
    </x:row>
    <x:row r="276">
      <x:c r="A276" s="9"/>
      <x:c r="B276" s="7"/>
      <x:c r="C276" s="7" t="str">
        <x:f>IF(B276="","",XLOOKUP(B276,Employees!$A$4:$A$53,Employees!$B$4:$B$53,""))</x:f>
      </x:c>
      <x:c r="D276" s="7"/>
      <x:c r="E276" s="10" t="n">
        <x:v>8</x:v>
      </x:c>
      <x:c r="F276" s="10"/>
      <x:c r="G276" s="10" t="str">
        <x:f>IF(F276="","",MIN(F276,E276))</x:f>
      </x:c>
      <x:c r="H276" s="10" t="str">
        <x:f>IF(F276="","",MAX(0,F276-E276))</x:f>
      </x:c>
      <x:c r="I276" s="24"/>
      <x:c r="J276" s="7"/>
      <x:c r="K276" s="8" t="str">
        <x:f>IF(A276="","",DATE(YEAR(A276),MONTH(A276),1))</x:f>
      </x:c>
    </x:row>
    <x:row r="277">
      <x:c r="A277" s="9"/>
      <x:c r="B277" s="7"/>
      <x:c r="C277" s="7" t="str">
        <x:f>IF(B277="","",XLOOKUP(B277,Employees!$A$4:$A$53,Employees!$B$4:$B$53,""))</x:f>
      </x:c>
      <x:c r="D277" s="7"/>
      <x:c r="E277" s="10" t="n">
        <x:v>8</x:v>
      </x:c>
      <x:c r="F277" s="10"/>
      <x:c r="G277" s="10" t="str">
        <x:f>IF(F277="","",MIN(F277,E277))</x:f>
      </x:c>
      <x:c r="H277" s="10" t="str">
        <x:f>IF(F277="","",MAX(0,F277-E277))</x:f>
      </x:c>
      <x:c r="I277" s="24"/>
      <x:c r="J277" s="7"/>
      <x:c r="K277" s="8" t="str">
        <x:f>IF(A277="","",DATE(YEAR(A277),MONTH(A277),1))</x:f>
      </x:c>
    </x:row>
    <x:row r="278">
      <x:c r="A278" s="9"/>
      <x:c r="B278" s="7"/>
      <x:c r="C278" s="7" t="str">
        <x:f>IF(B278="","",XLOOKUP(B278,Employees!$A$4:$A$53,Employees!$B$4:$B$53,""))</x:f>
      </x:c>
      <x:c r="D278" s="7"/>
      <x:c r="E278" s="10" t="n">
        <x:v>8</x:v>
      </x:c>
      <x:c r="F278" s="10"/>
      <x:c r="G278" s="10" t="str">
        <x:f>IF(F278="","",MIN(F278,E278))</x:f>
      </x:c>
      <x:c r="H278" s="10" t="str">
        <x:f>IF(F278="","",MAX(0,F278-E278))</x:f>
      </x:c>
      <x:c r="I278" s="24"/>
      <x:c r="J278" s="7"/>
      <x:c r="K278" s="8" t="str">
        <x:f>IF(A278="","",DATE(YEAR(A278),MONTH(A278),1))</x:f>
      </x:c>
    </x:row>
    <x:row r="279">
      <x:c r="A279" s="9"/>
      <x:c r="B279" s="7"/>
      <x:c r="C279" s="7" t="str">
        <x:f>IF(B279="","",XLOOKUP(B279,Employees!$A$4:$A$53,Employees!$B$4:$B$53,""))</x:f>
      </x:c>
      <x:c r="D279" s="7"/>
      <x:c r="E279" s="10" t="n">
        <x:v>8</x:v>
      </x:c>
      <x:c r="F279" s="10"/>
      <x:c r="G279" s="10" t="str">
        <x:f>IF(F279="","",MIN(F279,E279))</x:f>
      </x:c>
      <x:c r="H279" s="10" t="str">
        <x:f>IF(F279="","",MAX(0,F279-E279))</x:f>
      </x:c>
      <x:c r="I279" s="24"/>
      <x:c r="J279" s="7"/>
      <x:c r="K279" s="8" t="str">
        <x:f>IF(A279="","",DATE(YEAR(A279),MONTH(A279),1))</x:f>
      </x:c>
    </x:row>
    <x:row r="280">
      <x:c r="A280" s="9"/>
      <x:c r="B280" s="7"/>
      <x:c r="C280" s="7" t="str">
        <x:f>IF(B280="","",XLOOKUP(B280,Employees!$A$4:$A$53,Employees!$B$4:$B$53,""))</x:f>
      </x:c>
      <x:c r="D280" s="7"/>
      <x:c r="E280" s="10" t="n">
        <x:v>8</x:v>
      </x:c>
      <x:c r="F280" s="10"/>
      <x:c r="G280" s="10" t="str">
        <x:f>IF(F280="","",MIN(F280,E280))</x:f>
      </x:c>
      <x:c r="H280" s="10" t="str">
        <x:f>IF(F280="","",MAX(0,F280-E280))</x:f>
      </x:c>
      <x:c r="I280" s="24"/>
      <x:c r="J280" s="7"/>
      <x:c r="K280" s="8" t="str">
        <x:f>IF(A280="","",DATE(YEAR(A280),MONTH(A280),1))</x:f>
      </x:c>
    </x:row>
    <x:row r="281">
      <x:c r="A281" s="9"/>
      <x:c r="B281" s="7"/>
      <x:c r="C281" s="7" t="str">
        <x:f>IF(B281="","",XLOOKUP(B281,Employees!$A$4:$A$53,Employees!$B$4:$B$53,""))</x:f>
      </x:c>
      <x:c r="D281" s="7"/>
      <x:c r="E281" s="10" t="n">
        <x:v>8</x:v>
      </x:c>
      <x:c r="F281" s="10"/>
      <x:c r="G281" s="10" t="str">
        <x:f>IF(F281="","",MIN(F281,E281))</x:f>
      </x:c>
      <x:c r="H281" s="10" t="str">
        <x:f>IF(F281="","",MAX(0,F281-E281))</x:f>
      </x:c>
      <x:c r="I281" s="24"/>
      <x:c r="J281" s="7"/>
      <x:c r="K281" s="8" t="str">
        <x:f>IF(A281="","",DATE(YEAR(A281),MONTH(A281),1))</x:f>
      </x:c>
    </x:row>
    <x:row r="282">
      <x:c r="A282" s="9"/>
      <x:c r="B282" s="7"/>
      <x:c r="C282" s="7" t="str">
        <x:f>IF(B282="","",XLOOKUP(B282,Employees!$A$4:$A$53,Employees!$B$4:$B$53,""))</x:f>
      </x:c>
      <x:c r="D282" s="7"/>
      <x:c r="E282" s="10" t="n">
        <x:v>8</x:v>
      </x:c>
      <x:c r="F282" s="10"/>
      <x:c r="G282" s="10" t="str">
        <x:f>IF(F282="","",MIN(F282,E282))</x:f>
      </x:c>
      <x:c r="H282" s="10" t="str">
        <x:f>IF(F282="","",MAX(0,F282-E282))</x:f>
      </x:c>
      <x:c r="I282" s="24"/>
      <x:c r="J282" s="7"/>
      <x:c r="K282" s="8" t="str">
        <x:f>IF(A282="","",DATE(YEAR(A282),MONTH(A282),1))</x:f>
      </x:c>
    </x:row>
    <x:row r="283">
      <x:c r="A283" s="9"/>
      <x:c r="B283" s="7"/>
      <x:c r="C283" s="7" t="str">
        <x:f>IF(B283="","",XLOOKUP(B283,Employees!$A$4:$A$53,Employees!$B$4:$B$53,""))</x:f>
      </x:c>
      <x:c r="D283" s="7"/>
      <x:c r="E283" s="10" t="n">
        <x:v>8</x:v>
      </x:c>
      <x:c r="F283" s="10"/>
      <x:c r="G283" s="10" t="str">
        <x:f>IF(F283="","",MIN(F283,E283))</x:f>
      </x:c>
      <x:c r="H283" s="10" t="str">
        <x:f>IF(F283="","",MAX(0,F283-E283))</x:f>
      </x:c>
      <x:c r="I283" s="24"/>
      <x:c r="J283" s="7"/>
      <x:c r="K283" s="8" t="str">
        <x:f>IF(A283="","",DATE(YEAR(A283),MONTH(A283),1))</x:f>
      </x:c>
    </x:row>
    <x:row r="284">
      <x:c r="A284" s="9"/>
      <x:c r="B284" s="7"/>
      <x:c r="C284" s="7" t="str">
        <x:f>IF(B284="","",XLOOKUP(B284,Employees!$A$4:$A$53,Employees!$B$4:$B$53,""))</x:f>
      </x:c>
      <x:c r="D284" s="7"/>
      <x:c r="E284" s="10" t="n">
        <x:v>8</x:v>
      </x:c>
      <x:c r="F284" s="10"/>
      <x:c r="G284" s="10" t="str">
        <x:f>IF(F284="","",MIN(F284,E284))</x:f>
      </x:c>
      <x:c r="H284" s="10" t="str">
        <x:f>IF(F284="","",MAX(0,F284-E284))</x:f>
      </x:c>
      <x:c r="I284" s="24"/>
      <x:c r="J284" s="7"/>
      <x:c r="K284" s="8" t="str">
        <x:f>IF(A284="","",DATE(YEAR(A284),MONTH(A284),1))</x:f>
      </x:c>
    </x:row>
    <x:row r="285">
      <x:c r="A285" s="9"/>
      <x:c r="B285" s="7"/>
      <x:c r="C285" s="7" t="str">
        <x:f>IF(B285="","",XLOOKUP(B285,Employees!$A$4:$A$53,Employees!$B$4:$B$53,""))</x:f>
      </x:c>
      <x:c r="D285" s="7"/>
      <x:c r="E285" s="10" t="n">
        <x:v>8</x:v>
      </x:c>
      <x:c r="F285" s="10"/>
      <x:c r="G285" s="10" t="str">
        <x:f>IF(F285="","",MIN(F285,E285))</x:f>
      </x:c>
      <x:c r="H285" s="10" t="str">
        <x:f>IF(F285="","",MAX(0,F285-E285))</x:f>
      </x:c>
      <x:c r="I285" s="24"/>
      <x:c r="J285" s="7"/>
      <x:c r="K285" s="8" t="str">
        <x:f>IF(A285="","",DATE(YEAR(A285),MONTH(A285),1))</x:f>
      </x:c>
    </x:row>
    <x:row r="286">
      <x:c r="A286" s="9"/>
      <x:c r="B286" s="7"/>
      <x:c r="C286" s="7" t="str">
        <x:f>IF(B286="","",XLOOKUP(B286,Employees!$A$4:$A$53,Employees!$B$4:$B$53,""))</x:f>
      </x:c>
      <x:c r="D286" s="7"/>
      <x:c r="E286" s="10" t="n">
        <x:v>8</x:v>
      </x:c>
      <x:c r="F286" s="10"/>
      <x:c r="G286" s="10" t="str">
        <x:f>IF(F286="","",MIN(F286,E286))</x:f>
      </x:c>
      <x:c r="H286" s="10" t="str">
        <x:f>IF(F286="","",MAX(0,F286-E286))</x:f>
      </x:c>
      <x:c r="I286" s="24"/>
      <x:c r="J286" s="7"/>
      <x:c r="K286" s="8" t="str">
        <x:f>IF(A286="","",DATE(YEAR(A286),MONTH(A286),1))</x:f>
      </x:c>
    </x:row>
    <x:row r="287">
      <x:c r="A287" s="9"/>
      <x:c r="B287" s="7"/>
      <x:c r="C287" s="7" t="str">
        <x:f>IF(B287="","",XLOOKUP(B287,Employees!$A$4:$A$53,Employees!$B$4:$B$53,""))</x:f>
      </x:c>
      <x:c r="D287" s="7"/>
      <x:c r="E287" s="10" t="n">
        <x:v>8</x:v>
      </x:c>
      <x:c r="F287" s="10"/>
      <x:c r="G287" s="10" t="str">
        <x:f>IF(F287="","",MIN(F287,E287))</x:f>
      </x:c>
      <x:c r="H287" s="10" t="str">
        <x:f>IF(F287="","",MAX(0,F287-E287))</x:f>
      </x:c>
      <x:c r="I287" s="24"/>
      <x:c r="J287" s="7"/>
      <x:c r="K287" s="8" t="str">
        <x:f>IF(A287="","",DATE(YEAR(A287),MONTH(A287),1))</x:f>
      </x:c>
    </x:row>
    <x:row r="288">
      <x:c r="A288" s="9"/>
      <x:c r="B288" s="7"/>
      <x:c r="C288" s="7" t="str">
        <x:f>IF(B288="","",XLOOKUP(B288,Employees!$A$4:$A$53,Employees!$B$4:$B$53,""))</x:f>
      </x:c>
      <x:c r="D288" s="7"/>
      <x:c r="E288" s="10" t="n">
        <x:v>8</x:v>
      </x:c>
      <x:c r="F288" s="10"/>
      <x:c r="G288" s="10" t="str">
        <x:f>IF(F288="","",MIN(F288,E288))</x:f>
      </x:c>
      <x:c r="H288" s="10" t="str">
        <x:f>IF(F288="","",MAX(0,F288-E288))</x:f>
      </x:c>
      <x:c r="I288" s="24"/>
      <x:c r="J288" s="7"/>
      <x:c r="K288" s="8" t="str">
        <x:f>IF(A288="","",DATE(YEAR(A288),MONTH(A288),1))</x:f>
      </x:c>
    </x:row>
    <x:row r="289">
      <x:c r="A289" s="9"/>
      <x:c r="B289" s="7"/>
      <x:c r="C289" s="7" t="str">
        <x:f>IF(B289="","",XLOOKUP(B289,Employees!$A$4:$A$53,Employees!$B$4:$B$53,""))</x:f>
      </x:c>
      <x:c r="D289" s="7"/>
      <x:c r="E289" s="10" t="n">
        <x:v>8</x:v>
      </x:c>
      <x:c r="F289" s="10"/>
      <x:c r="G289" s="10" t="str">
        <x:f>IF(F289="","",MIN(F289,E289))</x:f>
      </x:c>
      <x:c r="H289" s="10" t="str">
        <x:f>IF(F289="","",MAX(0,F289-E289))</x:f>
      </x:c>
      <x:c r="I289" s="24"/>
      <x:c r="J289" s="7"/>
      <x:c r="K289" s="8" t="str">
        <x:f>IF(A289="","",DATE(YEAR(A289),MONTH(A289),1))</x:f>
      </x:c>
    </x:row>
    <x:row r="290">
      <x:c r="A290" s="9"/>
      <x:c r="B290" s="7"/>
      <x:c r="C290" s="7" t="str">
        <x:f>IF(B290="","",XLOOKUP(B290,Employees!$A$4:$A$53,Employees!$B$4:$B$53,""))</x:f>
      </x:c>
      <x:c r="D290" s="7"/>
      <x:c r="E290" s="10" t="n">
        <x:v>8</x:v>
      </x:c>
      <x:c r="F290" s="10"/>
      <x:c r="G290" s="10" t="str">
        <x:f>IF(F290="","",MIN(F290,E290))</x:f>
      </x:c>
      <x:c r="H290" s="10" t="str">
        <x:f>IF(F290="","",MAX(0,F290-E290))</x:f>
      </x:c>
      <x:c r="I290" s="24"/>
      <x:c r="J290" s="7"/>
      <x:c r="K290" s="8" t="str">
        <x:f>IF(A290="","",DATE(YEAR(A290),MONTH(A290),1))</x:f>
      </x:c>
    </x:row>
    <x:row r="291">
      <x:c r="A291" s="9"/>
      <x:c r="B291" s="7"/>
      <x:c r="C291" s="7" t="str">
        <x:f>IF(B291="","",XLOOKUP(B291,Employees!$A$4:$A$53,Employees!$B$4:$B$53,""))</x:f>
      </x:c>
      <x:c r="D291" s="7"/>
      <x:c r="E291" s="10" t="n">
        <x:v>8</x:v>
      </x:c>
      <x:c r="F291" s="10"/>
      <x:c r="G291" s="10" t="str">
        <x:f>IF(F291="","",MIN(F291,E291))</x:f>
      </x:c>
      <x:c r="H291" s="10" t="str">
        <x:f>IF(F291="","",MAX(0,F291-E291))</x:f>
      </x:c>
      <x:c r="I291" s="24"/>
      <x:c r="J291" s="7"/>
      <x:c r="K291" s="8" t="str">
        <x:f>IF(A291="","",DATE(YEAR(A291),MONTH(A291),1))</x:f>
      </x:c>
    </x:row>
    <x:row r="292">
      <x:c r="A292" s="9"/>
      <x:c r="B292" s="7"/>
      <x:c r="C292" s="7" t="str">
        <x:f>IF(B292="","",XLOOKUP(B292,Employees!$A$4:$A$53,Employees!$B$4:$B$53,""))</x:f>
      </x:c>
      <x:c r="D292" s="7"/>
      <x:c r="E292" s="10" t="n">
        <x:v>8</x:v>
      </x:c>
      <x:c r="F292" s="10"/>
      <x:c r="G292" s="10" t="str">
        <x:f>IF(F292="","",MIN(F292,E292))</x:f>
      </x:c>
      <x:c r="H292" s="10" t="str">
        <x:f>IF(F292="","",MAX(0,F292-E292))</x:f>
      </x:c>
      <x:c r="I292" s="24"/>
      <x:c r="J292" s="7"/>
      <x:c r="K292" s="8" t="str">
        <x:f>IF(A292="","",DATE(YEAR(A292),MONTH(A292),1))</x:f>
      </x:c>
    </x:row>
    <x:row r="293">
      <x:c r="A293" s="9"/>
      <x:c r="B293" s="7"/>
      <x:c r="C293" s="7" t="str">
        <x:f>IF(B293="","",XLOOKUP(B293,Employees!$A$4:$A$53,Employees!$B$4:$B$53,""))</x:f>
      </x:c>
      <x:c r="D293" s="7"/>
      <x:c r="E293" s="10" t="n">
        <x:v>8</x:v>
      </x:c>
      <x:c r="F293" s="10"/>
      <x:c r="G293" s="10" t="str">
        <x:f>IF(F293="","",MIN(F293,E293))</x:f>
      </x:c>
      <x:c r="H293" s="10" t="str">
        <x:f>IF(F293="","",MAX(0,F293-E293))</x:f>
      </x:c>
      <x:c r="I293" s="24"/>
      <x:c r="J293" s="7"/>
      <x:c r="K293" s="8" t="str">
        <x:f>IF(A293="","",DATE(YEAR(A293),MONTH(A293),1))</x:f>
      </x:c>
    </x:row>
    <x:row r="294">
      <x:c r="A294" s="9"/>
      <x:c r="B294" s="7"/>
      <x:c r="C294" s="7" t="str">
        <x:f>IF(B294="","",XLOOKUP(B294,Employees!$A$4:$A$53,Employees!$B$4:$B$53,""))</x:f>
      </x:c>
      <x:c r="D294" s="7"/>
      <x:c r="E294" s="10" t="n">
        <x:v>8</x:v>
      </x:c>
      <x:c r="F294" s="10"/>
      <x:c r="G294" s="10" t="str">
        <x:f>IF(F294="","",MIN(F294,E294))</x:f>
      </x:c>
      <x:c r="H294" s="10" t="str">
        <x:f>IF(F294="","",MAX(0,F294-E294))</x:f>
      </x:c>
      <x:c r="I294" s="24"/>
      <x:c r="J294" s="7"/>
      <x:c r="K294" s="8" t="str">
        <x:f>IF(A294="","",DATE(YEAR(A294),MONTH(A294),1))</x:f>
      </x:c>
    </x:row>
    <x:row r="295">
      <x:c r="A295" s="9"/>
      <x:c r="B295" s="7"/>
      <x:c r="C295" s="7" t="str">
        <x:f>IF(B295="","",XLOOKUP(B295,Employees!$A$4:$A$53,Employees!$B$4:$B$53,""))</x:f>
      </x:c>
      <x:c r="D295" s="7"/>
      <x:c r="E295" s="10" t="n">
        <x:v>8</x:v>
      </x:c>
      <x:c r="F295" s="10"/>
      <x:c r="G295" s="10" t="str">
        <x:f>IF(F295="","",MIN(F295,E295))</x:f>
      </x:c>
      <x:c r="H295" s="10" t="str">
        <x:f>IF(F295="","",MAX(0,F295-E295))</x:f>
      </x:c>
      <x:c r="I295" s="24"/>
      <x:c r="J295" s="7"/>
      <x:c r="K295" s="8" t="str">
        <x:f>IF(A295="","",DATE(YEAR(A295),MONTH(A295),1))</x:f>
      </x:c>
    </x:row>
    <x:row r="296">
      <x:c r="A296" s="9"/>
      <x:c r="B296" s="7"/>
      <x:c r="C296" s="7" t="str">
        <x:f>IF(B296="","",XLOOKUP(B296,Employees!$A$4:$A$53,Employees!$B$4:$B$53,""))</x:f>
      </x:c>
      <x:c r="D296" s="7"/>
      <x:c r="E296" s="10" t="n">
        <x:v>8</x:v>
      </x:c>
      <x:c r="F296" s="10"/>
      <x:c r="G296" s="10" t="str">
        <x:f>IF(F296="","",MIN(F296,E296))</x:f>
      </x:c>
      <x:c r="H296" s="10" t="str">
        <x:f>IF(F296="","",MAX(0,F296-E296))</x:f>
      </x:c>
      <x:c r="I296" s="24"/>
      <x:c r="J296" s="7"/>
      <x:c r="K296" s="8" t="str">
        <x:f>IF(A296="","",DATE(YEAR(A296),MONTH(A296),1))</x:f>
      </x:c>
    </x:row>
    <x:row r="297">
      <x:c r="A297" s="9"/>
      <x:c r="B297" s="7"/>
      <x:c r="C297" s="7" t="str">
        <x:f>IF(B297="","",XLOOKUP(B297,Employees!$A$4:$A$53,Employees!$B$4:$B$53,""))</x:f>
      </x:c>
      <x:c r="D297" s="7"/>
      <x:c r="E297" s="10" t="n">
        <x:v>8</x:v>
      </x:c>
      <x:c r="F297" s="10"/>
      <x:c r="G297" s="10" t="str">
        <x:f>IF(F297="","",MIN(F297,E297))</x:f>
      </x:c>
      <x:c r="H297" s="10" t="str">
        <x:f>IF(F297="","",MAX(0,F297-E297))</x:f>
      </x:c>
      <x:c r="I297" s="24"/>
      <x:c r="J297" s="7"/>
      <x:c r="K297" s="8" t="str">
        <x:f>IF(A297="","",DATE(YEAR(A297),MONTH(A297),1))</x:f>
      </x:c>
    </x:row>
    <x:row r="298">
      <x:c r="A298" s="9"/>
      <x:c r="B298" s="7"/>
      <x:c r="C298" s="7" t="str">
        <x:f>IF(B298="","",XLOOKUP(B298,Employees!$A$4:$A$53,Employees!$B$4:$B$53,""))</x:f>
      </x:c>
      <x:c r="D298" s="7"/>
      <x:c r="E298" s="10" t="n">
        <x:v>8</x:v>
      </x:c>
      <x:c r="F298" s="10"/>
      <x:c r="G298" s="10" t="str">
        <x:f>IF(F298="","",MIN(F298,E298))</x:f>
      </x:c>
      <x:c r="H298" s="10" t="str">
        <x:f>IF(F298="","",MAX(0,F298-E298))</x:f>
      </x:c>
      <x:c r="I298" s="24"/>
      <x:c r="J298" s="7"/>
      <x:c r="K298" s="8" t="str">
        <x:f>IF(A298="","",DATE(YEAR(A298),MONTH(A298),1))</x:f>
      </x:c>
    </x:row>
    <x:row r="299">
      <x:c r="A299" s="9"/>
      <x:c r="B299" s="7"/>
      <x:c r="C299" s="7" t="str">
        <x:f>IF(B299="","",XLOOKUP(B299,Employees!$A$4:$A$53,Employees!$B$4:$B$53,""))</x:f>
      </x:c>
      <x:c r="D299" s="7"/>
      <x:c r="E299" s="10" t="n">
        <x:v>8</x:v>
      </x:c>
      <x:c r="F299" s="10"/>
      <x:c r="G299" s="10" t="str">
        <x:f>IF(F299="","",MIN(F299,E299))</x:f>
      </x:c>
      <x:c r="H299" s="10" t="str">
        <x:f>IF(F299="","",MAX(0,F299-E299))</x:f>
      </x:c>
      <x:c r="I299" s="24"/>
      <x:c r="J299" s="7"/>
      <x:c r="K299" s="8" t="str">
        <x:f>IF(A299="","",DATE(YEAR(A299),MONTH(A299),1))</x:f>
      </x:c>
    </x:row>
    <x:row r="300">
      <x:c r="A300" s="9"/>
      <x:c r="B300" s="7"/>
      <x:c r="C300" s="7" t="str">
        <x:f>IF(B300="","",XLOOKUP(B300,Employees!$A$4:$A$53,Employees!$B$4:$B$53,""))</x:f>
      </x:c>
      <x:c r="D300" s="7"/>
      <x:c r="E300" s="10" t="n">
        <x:v>8</x:v>
      </x:c>
      <x:c r="F300" s="10"/>
      <x:c r="G300" s="10" t="str">
        <x:f>IF(F300="","",MIN(F300,E300))</x:f>
      </x:c>
      <x:c r="H300" s="10" t="str">
        <x:f>IF(F300="","",MAX(0,F300-E300))</x:f>
      </x:c>
      <x:c r="I300" s="24"/>
      <x:c r="J300" s="7"/>
      <x:c r="K300" s="8" t="str">
        <x:f>IF(A300="","",DATE(YEAR(A300),MONTH(A300),1))</x:f>
      </x:c>
    </x:row>
    <x:row r="301">
      <x:c r="A301" s="9"/>
      <x:c r="B301" s="7"/>
      <x:c r="C301" s="7" t="str">
        <x:f>IF(B301="","",XLOOKUP(B301,Employees!$A$4:$A$53,Employees!$B$4:$B$53,""))</x:f>
      </x:c>
      <x:c r="D301" s="7"/>
      <x:c r="E301" s="10" t="n">
        <x:v>8</x:v>
      </x:c>
      <x:c r="F301" s="10"/>
      <x:c r="G301" s="10" t="str">
        <x:f>IF(F301="","",MIN(F301,E301))</x:f>
      </x:c>
      <x:c r="H301" s="10" t="str">
        <x:f>IF(F301="","",MAX(0,F301-E301))</x:f>
      </x:c>
      <x:c r="I301" s="24"/>
      <x:c r="J301" s="7"/>
      <x:c r="K301" s="8" t="str">
        <x:f>IF(A301="","",DATE(YEAR(A301),MONTH(A301),1))</x:f>
      </x:c>
    </x:row>
    <x:row r="302">
      <x:c r="A302" s="9"/>
      <x:c r="B302" s="7"/>
      <x:c r="C302" s="7" t="str">
        <x:f>IF(B302="","",XLOOKUP(B302,Employees!$A$4:$A$53,Employees!$B$4:$B$53,""))</x:f>
      </x:c>
      <x:c r="D302" s="7"/>
      <x:c r="E302" s="10" t="n">
        <x:v>8</x:v>
      </x:c>
      <x:c r="F302" s="10"/>
      <x:c r="G302" s="10" t="str">
        <x:f>IF(F302="","",MIN(F302,E302))</x:f>
      </x:c>
      <x:c r="H302" s="10" t="str">
        <x:f>IF(F302="","",MAX(0,F302-E302))</x:f>
      </x:c>
      <x:c r="I302" s="24"/>
      <x:c r="J302" s="7"/>
      <x:c r="K302" s="8" t="str">
        <x:f>IF(A302="","",DATE(YEAR(A302),MONTH(A302),1))</x:f>
      </x:c>
    </x:row>
    <x:row r="303">
      <x:c r="A303" s="9"/>
      <x:c r="B303" s="7"/>
      <x:c r="C303" s="7" t="str">
        <x:f>IF(B303="","",XLOOKUP(B303,Employees!$A$4:$A$53,Employees!$B$4:$B$53,""))</x:f>
      </x:c>
      <x:c r="D303" s="7"/>
      <x:c r="E303" s="10" t="n">
        <x:v>8</x:v>
      </x:c>
      <x:c r="F303" s="10"/>
      <x:c r="G303" s="10" t="str">
        <x:f>IF(F303="","",MIN(F303,E303))</x:f>
      </x:c>
      <x:c r="H303" s="10" t="str">
        <x:f>IF(F303="","",MAX(0,F303-E303))</x:f>
      </x:c>
      <x:c r="I303" s="24"/>
      <x:c r="J303" s="7"/>
      <x:c r="K303" s="8" t="str">
        <x:f>IF(A303="","",DATE(YEAR(A303),MONTH(A303),1))</x:f>
      </x:c>
    </x:row>
    <x:row r="304">
      <x:c r="A304" s="9"/>
      <x:c r="B304" s="7"/>
      <x:c r="C304" s="7" t="str">
        <x:f>IF(B304="","",XLOOKUP(B304,Employees!$A$4:$A$53,Employees!$B$4:$B$53,""))</x:f>
      </x:c>
      <x:c r="D304" s="7"/>
      <x:c r="E304" s="10" t="n">
        <x:v>8</x:v>
      </x:c>
      <x:c r="F304" s="10"/>
      <x:c r="G304" s="10" t="str">
        <x:f>IF(F304="","",MIN(F304,E304))</x:f>
      </x:c>
      <x:c r="H304" s="10" t="str">
        <x:f>IF(F304="","",MAX(0,F304-E304))</x:f>
      </x:c>
      <x:c r="I304" s="24"/>
      <x:c r="J304" s="7"/>
      <x:c r="K304" s="8" t="str">
        <x:f>IF(A304="","",DATE(YEAR(A304),MONTH(A304),1))</x:f>
      </x:c>
    </x:row>
    <x:row r="305">
      <x:c r="A305" s="9"/>
      <x:c r="B305" s="7"/>
      <x:c r="C305" s="7" t="str">
        <x:f>IF(B305="","",XLOOKUP(B305,Employees!$A$4:$A$53,Employees!$B$4:$B$53,""))</x:f>
      </x:c>
      <x:c r="D305" s="7"/>
      <x:c r="E305" s="10" t="n">
        <x:v>8</x:v>
      </x:c>
      <x:c r="F305" s="10"/>
      <x:c r="G305" s="10" t="str">
        <x:f>IF(F305="","",MIN(F305,E305))</x:f>
      </x:c>
      <x:c r="H305" s="10" t="str">
        <x:f>IF(F305="","",MAX(0,F305-E305))</x:f>
      </x:c>
      <x:c r="I305" s="24"/>
      <x:c r="J305" s="7"/>
      <x:c r="K305" s="8" t="str">
        <x:f>IF(A305="","",DATE(YEAR(A305),MONTH(A305),1))</x:f>
      </x:c>
    </x:row>
    <x:row r="306">
      <x:c r="A306" s="9"/>
      <x:c r="B306" s="7"/>
      <x:c r="C306" s="7" t="str">
        <x:f>IF(B306="","",XLOOKUP(B306,Employees!$A$4:$A$53,Employees!$B$4:$B$53,""))</x:f>
      </x:c>
      <x:c r="D306" s="7"/>
      <x:c r="E306" s="10" t="n">
        <x:v>8</x:v>
      </x:c>
      <x:c r="F306" s="10"/>
      <x:c r="G306" s="10" t="str">
        <x:f>IF(F306="","",MIN(F306,E306))</x:f>
      </x:c>
      <x:c r="H306" s="10" t="str">
        <x:f>IF(F306="","",MAX(0,F306-E306))</x:f>
      </x:c>
      <x:c r="I306" s="24"/>
      <x:c r="J306" s="7"/>
      <x:c r="K306" s="8" t="str">
        <x:f>IF(A306="","",DATE(YEAR(A306),MONTH(A306),1))</x:f>
      </x:c>
    </x:row>
    <x:row r="307">
      <x:c r="A307" s="9"/>
      <x:c r="B307" s="7"/>
      <x:c r="C307" s="7" t="str">
        <x:f>IF(B307="","",XLOOKUP(B307,Employees!$A$4:$A$53,Employees!$B$4:$B$53,""))</x:f>
      </x:c>
      <x:c r="D307" s="7"/>
      <x:c r="E307" s="10" t="n">
        <x:v>8</x:v>
      </x:c>
      <x:c r="F307" s="10"/>
      <x:c r="G307" s="10" t="str">
        <x:f>IF(F307="","",MIN(F307,E307))</x:f>
      </x:c>
      <x:c r="H307" s="10" t="str">
        <x:f>IF(F307="","",MAX(0,F307-E307))</x:f>
      </x:c>
      <x:c r="I307" s="24"/>
      <x:c r="J307" s="7"/>
      <x:c r="K307" s="8" t="str">
        <x:f>IF(A307="","",DATE(YEAR(A307),MONTH(A307),1))</x:f>
      </x:c>
    </x:row>
    <x:row r="308">
      <x:c r="A308" s="9"/>
      <x:c r="B308" s="7"/>
      <x:c r="C308" s="7" t="str">
        <x:f>IF(B308="","",XLOOKUP(B308,Employees!$A$4:$A$53,Employees!$B$4:$B$53,""))</x:f>
      </x:c>
      <x:c r="D308" s="7"/>
      <x:c r="E308" s="10" t="n">
        <x:v>8</x:v>
      </x:c>
      <x:c r="F308" s="10"/>
      <x:c r="G308" s="10" t="str">
        <x:f>IF(F308="","",MIN(F308,E308))</x:f>
      </x:c>
      <x:c r="H308" s="10" t="str">
        <x:f>IF(F308="","",MAX(0,F308-E308))</x:f>
      </x:c>
      <x:c r="I308" s="24"/>
      <x:c r="J308" s="7"/>
      <x:c r="K308" s="8" t="str">
        <x:f>IF(A308="","",DATE(YEAR(A308),MONTH(A308),1))</x:f>
      </x:c>
    </x:row>
    <x:row r="309">
      <x:c r="A309" s="9"/>
      <x:c r="B309" s="7"/>
      <x:c r="C309" s="7" t="str">
        <x:f>IF(B309="","",XLOOKUP(B309,Employees!$A$4:$A$53,Employees!$B$4:$B$53,""))</x:f>
      </x:c>
      <x:c r="D309" s="7"/>
      <x:c r="E309" s="10" t="n">
        <x:v>8</x:v>
      </x:c>
      <x:c r="F309" s="10"/>
      <x:c r="G309" s="10" t="str">
        <x:f>IF(F309="","",MIN(F309,E309))</x:f>
      </x:c>
      <x:c r="H309" s="10" t="str">
        <x:f>IF(F309="","",MAX(0,F309-E309))</x:f>
      </x:c>
      <x:c r="I309" s="24"/>
      <x:c r="J309" s="7"/>
      <x:c r="K309" s="8" t="str">
        <x:f>IF(A309="","",DATE(YEAR(A309),MONTH(A309),1))</x:f>
      </x:c>
    </x:row>
    <x:row r="310">
      <x:c r="A310" s="9"/>
      <x:c r="B310" s="7"/>
      <x:c r="C310" s="7" t="str">
        <x:f>IF(B310="","",XLOOKUP(B310,Employees!$A$4:$A$53,Employees!$B$4:$B$53,""))</x:f>
      </x:c>
      <x:c r="D310" s="7"/>
      <x:c r="E310" s="10" t="n">
        <x:v>8</x:v>
      </x:c>
      <x:c r="F310" s="10"/>
      <x:c r="G310" s="10" t="str">
        <x:f>IF(F310="","",MIN(F310,E310))</x:f>
      </x:c>
      <x:c r="H310" s="10" t="str">
        <x:f>IF(F310="","",MAX(0,F310-E310))</x:f>
      </x:c>
      <x:c r="I310" s="24"/>
      <x:c r="J310" s="7"/>
      <x:c r="K310" s="8" t="str">
        <x:f>IF(A310="","",DATE(YEAR(A310),MONTH(A310),1))</x:f>
      </x:c>
    </x:row>
    <x:row r="311">
      <x:c r="A311" s="9"/>
      <x:c r="B311" s="7"/>
      <x:c r="C311" s="7" t="str">
        <x:f>IF(B311="","",XLOOKUP(B311,Employees!$A$4:$A$53,Employees!$B$4:$B$53,""))</x:f>
      </x:c>
      <x:c r="D311" s="7"/>
      <x:c r="E311" s="10" t="n">
        <x:v>8</x:v>
      </x:c>
      <x:c r="F311" s="10"/>
      <x:c r="G311" s="10" t="str">
        <x:f>IF(F311="","",MIN(F311,E311))</x:f>
      </x:c>
      <x:c r="H311" s="10" t="str">
        <x:f>IF(F311="","",MAX(0,F311-E311))</x:f>
      </x:c>
      <x:c r="I311" s="24"/>
      <x:c r="J311" s="7"/>
      <x:c r="K311" s="8" t="str">
        <x:f>IF(A311="","",DATE(YEAR(A311),MONTH(A311),1))</x:f>
      </x:c>
    </x:row>
    <x:row r="312">
      <x:c r="A312" s="9"/>
      <x:c r="B312" s="7"/>
      <x:c r="C312" s="7" t="str">
        <x:f>IF(B312="","",XLOOKUP(B312,Employees!$A$4:$A$53,Employees!$B$4:$B$53,""))</x:f>
      </x:c>
      <x:c r="D312" s="7"/>
      <x:c r="E312" s="10" t="n">
        <x:v>8</x:v>
      </x:c>
      <x:c r="F312" s="10"/>
      <x:c r="G312" s="10" t="str">
        <x:f>IF(F312="","",MIN(F312,E312))</x:f>
      </x:c>
      <x:c r="H312" s="10" t="str">
        <x:f>IF(F312="","",MAX(0,F312-E312))</x:f>
      </x:c>
      <x:c r="I312" s="24"/>
      <x:c r="J312" s="7"/>
      <x:c r="K312" s="8" t="str">
        <x:f>IF(A312="","",DATE(YEAR(A312),MONTH(A312),1))</x:f>
      </x:c>
    </x:row>
    <x:row r="313">
      <x:c r="A313" s="9"/>
      <x:c r="B313" s="7"/>
      <x:c r="C313" s="7" t="str">
        <x:f>IF(B313="","",XLOOKUP(B313,Employees!$A$4:$A$53,Employees!$B$4:$B$53,""))</x:f>
      </x:c>
      <x:c r="D313" s="7"/>
      <x:c r="E313" s="10" t="n">
        <x:v>8</x:v>
      </x:c>
      <x:c r="F313" s="10"/>
      <x:c r="G313" s="10" t="str">
        <x:f>IF(F313="","",MIN(F313,E313))</x:f>
      </x:c>
      <x:c r="H313" s="10" t="str">
        <x:f>IF(F313="","",MAX(0,F313-E313))</x:f>
      </x:c>
      <x:c r="I313" s="24"/>
      <x:c r="J313" s="7"/>
      <x:c r="K313" s="8" t="str">
        <x:f>IF(A313="","",DATE(YEAR(A313),MONTH(A313),1))</x:f>
      </x:c>
    </x:row>
    <x:row r="314">
      <x:c r="A314" s="9"/>
      <x:c r="B314" s="7"/>
      <x:c r="C314" s="7" t="str">
        <x:f>IF(B314="","",XLOOKUP(B314,Employees!$A$4:$A$53,Employees!$B$4:$B$53,""))</x:f>
      </x:c>
      <x:c r="D314" s="7"/>
      <x:c r="E314" s="10" t="n">
        <x:v>8</x:v>
      </x:c>
      <x:c r="F314" s="10"/>
      <x:c r="G314" s="10" t="str">
        <x:f>IF(F314="","",MIN(F314,E314))</x:f>
      </x:c>
      <x:c r="H314" s="10" t="str">
        <x:f>IF(F314="","",MAX(0,F314-E314))</x:f>
      </x:c>
      <x:c r="I314" s="24"/>
      <x:c r="J314" s="7"/>
      <x:c r="K314" s="8" t="str">
        <x:f>IF(A314="","",DATE(YEAR(A314),MONTH(A314),1))</x:f>
      </x:c>
    </x:row>
    <x:row r="315">
      <x:c r="A315" s="9"/>
      <x:c r="B315" s="7"/>
      <x:c r="C315" s="7" t="str">
        <x:f>IF(B315="","",XLOOKUP(B315,Employees!$A$4:$A$53,Employees!$B$4:$B$53,""))</x:f>
      </x:c>
      <x:c r="D315" s="7"/>
      <x:c r="E315" s="10" t="n">
        <x:v>8</x:v>
      </x:c>
      <x:c r="F315" s="10"/>
      <x:c r="G315" s="10" t="str">
        <x:f>IF(F315="","",MIN(F315,E315))</x:f>
      </x:c>
      <x:c r="H315" s="10" t="str">
        <x:f>IF(F315="","",MAX(0,F315-E315))</x:f>
      </x:c>
      <x:c r="I315" s="24"/>
      <x:c r="J315" s="7"/>
      <x:c r="K315" s="8" t="str">
        <x:f>IF(A315="","",DATE(YEAR(A315),MONTH(A315),1))</x:f>
      </x:c>
    </x:row>
    <x:row r="316">
      <x:c r="A316" s="9"/>
      <x:c r="B316" s="7"/>
      <x:c r="C316" s="7" t="str">
        <x:f>IF(B316="","",XLOOKUP(B316,Employees!$A$4:$A$53,Employees!$B$4:$B$53,""))</x:f>
      </x:c>
      <x:c r="D316" s="7"/>
      <x:c r="E316" s="10" t="n">
        <x:v>8</x:v>
      </x:c>
      <x:c r="F316" s="10"/>
      <x:c r="G316" s="10" t="str">
        <x:f>IF(F316="","",MIN(F316,E316))</x:f>
      </x:c>
      <x:c r="H316" s="10" t="str">
        <x:f>IF(F316="","",MAX(0,F316-E316))</x:f>
      </x:c>
      <x:c r="I316" s="24"/>
      <x:c r="J316" s="7"/>
      <x:c r="K316" s="8" t="str">
        <x:f>IF(A316="","",DATE(YEAR(A316),MONTH(A316),1))</x:f>
      </x:c>
    </x:row>
    <x:row r="317">
      <x:c r="A317" s="9"/>
      <x:c r="B317" s="7"/>
      <x:c r="C317" s="7" t="str">
        <x:f>IF(B317="","",XLOOKUP(B317,Employees!$A$4:$A$53,Employees!$B$4:$B$53,""))</x:f>
      </x:c>
      <x:c r="D317" s="7"/>
      <x:c r="E317" s="10" t="n">
        <x:v>8</x:v>
      </x:c>
      <x:c r="F317" s="10"/>
      <x:c r="G317" s="10" t="str">
        <x:f>IF(F317="","",MIN(F317,E317))</x:f>
      </x:c>
      <x:c r="H317" s="10" t="str">
        <x:f>IF(F317="","",MAX(0,F317-E317))</x:f>
      </x:c>
      <x:c r="I317" s="24"/>
      <x:c r="J317" s="7"/>
      <x:c r="K317" s="8" t="str">
        <x:f>IF(A317="","",DATE(YEAR(A317),MONTH(A317),1))</x:f>
      </x:c>
    </x:row>
    <x:row r="318">
      <x:c r="A318" s="9"/>
      <x:c r="B318" s="7"/>
      <x:c r="C318" s="7" t="str">
        <x:f>IF(B318="","",XLOOKUP(B318,Employees!$A$4:$A$53,Employees!$B$4:$B$53,""))</x:f>
      </x:c>
      <x:c r="D318" s="7"/>
      <x:c r="E318" s="10" t="n">
        <x:v>8</x:v>
      </x:c>
      <x:c r="F318" s="10"/>
      <x:c r="G318" s="10" t="str">
        <x:f>IF(F318="","",MIN(F318,E318))</x:f>
      </x:c>
      <x:c r="H318" s="10" t="str">
        <x:f>IF(F318="","",MAX(0,F318-E318))</x:f>
      </x:c>
      <x:c r="I318" s="24"/>
      <x:c r="J318" s="7"/>
      <x:c r="K318" s="8" t="str">
        <x:f>IF(A318="","",DATE(YEAR(A318),MONTH(A318),1))</x:f>
      </x:c>
    </x:row>
    <x:row r="319">
      <x:c r="A319" s="9"/>
      <x:c r="B319" s="7"/>
      <x:c r="C319" s="7" t="str">
        <x:f>IF(B319="","",XLOOKUP(B319,Employees!$A$4:$A$53,Employees!$B$4:$B$53,""))</x:f>
      </x:c>
      <x:c r="D319" s="7"/>
      <x:c r="E319" s="10" t="n">
        <x:v>8</x:v>
      </x:c>
      <x:c r="F319" s="10"/>
      <x:c r="G319" s="10" t="str">
        <x:f>IF(F319="","",MIN(F319,E319))</x:f>
      </x:c>
      <x:c r="H319" s="10" t="str">
        <x:f>IF(F319="","",MAX(0,F319-E319))</x:f>
      </x:c>
      <x:c r="I319" s="24"/>
      <x:c r="J319" s="7"/>
      <x:c r="K319" s="8" t="str">
        <x:f>IF(A319="","",DATE(YEAR(A319),MONTH(A319),1))</x:f>
      </x:c>
    </x:row>
    <x:row r="320">
      <x:c r="A320" s="9"/>
      <x:c r="B320" s="7"/>
      <x:c r="C320" s="7" t="str">
        <x:f>IF(B320="","",XLOOKUP(B320,Employees!$A$4:$A$53,Employees!$B$4:$B$53,""))</x:f>
      </x:c>
      <x:c r="D320" s="7"/>
      <x:c r="E320" s="10" t="n">
        <x:v>8</x:v>
      </x:c>
      <x:c r="F320" s="10"/>
      <x:c r="G320" s="10" t="str">
        <x:f>IF(F320="","",MIN(F320,E320))</x:f>
      </x:c>
      <x:c r="H320" s="10" t="str">
        <x:f>IF(F320="","",MAX(0,F320-E320))</x:f>
      </x:c>
      <x:c r="I320" s="24"/>
      <x:c r="J320" s="7"/>
      <x:c r="K320" s="8" t="str">
        <x:f>IF(A320="","",DATE(YEAR(A320),MONTH(A320),1))</x:f>
      </x:c>
    </x:row>
    <x:row r="321">
      <x:c r="A321" s="9"/>
      <x:c r="B321" s="7"/>
      <x:c r="C321" s="7" t="str">
        <x:f>IF(B321="","",XLOOKUP(B321,Employees!$A$4:$A$53,Employees!$B$4:$B$53,""))</x:f>
      </x:c>
      <x:c r="D321" s="7"/>
      <x:c r="E321" s="10" t="n">
        <x:v>8</x:v>
      </x:c>
      <x:c r="F321" s="10"/>
      <x:c r="G321" s="10" t="str">
        <x:f>IF(F321="","",MIN(F321,E321))</x:f>
      </x:c>
      <x:c r="H321" s="10" t="str">
        <x:f>IF(F321="","",MAX(0,F321-E321))</x:f>
      </x:c>
      <x:c r="I321" s="24"/>
      <x:c r="J321" s="7"/>
      <x:c r="K321" s="8" t="str">
        <x:f>IF(A321="","",DATE(YEAR(A321),MONTH(A321),1))</x:f>
      </x:c>
    </x:row>
    <x:row r="322">
      <x:c r="A322" s="9"/>
      <x:c r="B322" s="7"/>
      <x:c r="C322" s="7" t="str">
        <x:f>IF(B322="","",XLOOKUP(B322,Employees!$A$4:$A$53,Employees!$B$4:$B$53,""))</x:f>
      </x:c>
      <x:c r="D322" s="7"/>
      <x:c r="E322" s="10" t="n">
        <x:v>8</x:v>
      </x:c>
      <x:c r="F322" s="10"/>
      <x:c r="G322" s="10" t="str">
        <x:f>IF(F322="","",MIN(F322,E322))</x:f>
      </x:c>
      <x:c r="H322" s="10" t="str">
        <x:f>IF(F322="","",MAX(0,F322-E322))</x:f>
      </x:c>
      <x:c r="I322" s="24"/>
      <x:c r="J322" s="7"/>
      <x:c r="K322" s="8" t="str">
        <x:f>IF(A322="","",DATE(YEAR(A322),MONTH(A322),1))</x:f>
      </x:c>
    </x:row>
    <x:row r="323">
      <x:c r="A323" s="9"/>
      <x:c r="B323" s="7"/>
      <x:c r="C323" s="7" t="str">
        <x:f>IF(B323="","",XLOOKUP(B323,Employees!$A$4:$A$53,Employees!$B$4:$B$53,""))</x:f>
      </x:c>
      <x:c r="D323" s="7"/>
      <x:c r="E323" s="10" t="n">
        <x:v>8</x:v>
      </x:c>
      <x:c r="F323" s="10"/>
      <x:c r="G323" s="10" t="str">
        <x:f>IF(F323="","",MIN(F323,E323))</x:f>
      </x:c>
      <x:c r="H323" s="10" t="str">
        <x:f>IF(F323="","",MAX(0,F323-E323))</x:f>
      </x:c>
      <x:c r="I323" s="24"/>
      <x:c r="J323" s="7"/>
      <x:c r="K323" s="8" t="str">
        <x:f>IF(A323="","",DATE(YEAR(A323),MONTH(A323),1))</x:f>
      </x:c>
    </x:row>
    <x:row r="324">
      <x:c r="A324" s="9"/>
      <x:c r="B324" s="7"/>
      <x:c r="C324" s="7" t="str">
        <x:f>IF(B324="","",XLOOKUP(B324,Employees!$A$4:$A$53,Employees!$B$4:$B$53,""))</x:f>
      </x:c>
      <x:c r="D324" s="7"/>
      <x:c r="E324" s="10" t="n">
        <x:v>8</x:v>
      </x:c>
      <x:c r="F324" s="10"/>
      <x:c r="G324" s="10" t="str">
        <x:f>IF(F324="","",MIN(F324,E324))</x:f>
      </x:c>
      <x:c r="H324" s="10" t="str">
        <x:f>IF(F324="","",MAX(0,F324-E324))</x:f>
      </x:c>
      <x:c r="I324" s="24"/>
      <x:c r="J324" s="7"/>
      <x:c r="K324" s="8" t="str">
        <x:f>IF(A324="","",DATE(YEAR(A324),MONTH(A324),1))</x:f>
      </x:c>
    </x:row>
    <x:row r="325">
      <x:c r="A325" s="9"/>
      <x:c r="B325" s="7"/>
      <x:c r="C325" s="7" t="str">
        <x:f>IF(B325="","",XLOOKUP(B325,Employees!$A$4:$A$53,Employees!$B$4:$B$53,""))</x:f>
      </x:c>
      <x:c r="D325" s="7"/>
      <x:c r="E325" s="10" t="n">
        <x:v>8</x:v>
      </x:c>
      <x:c r="F325" s="10"/>
      <x:c r="G325" s="10" t="str">
        <x:f>IF(F325="","",MIN(F325,E325))</x:f>
      </x:c>
      <x:c r="H325" s="10" t="str">
        <x:f>IF(F325="","",MAX(0,F325-E325))</x:f>
      </x:c>
      <x:c r="I325" s="24"/>
      <x:c r="J325" s="7"/>
      <x:c r="K325" s="8" t="str">
        <x:f>IF(A325="","",DATE(YEAR(A325),MONTH(A325),1))</x:f>
      </x:c>
    </x:row>
    <x:row r="326">
      <x:c r="A326" s="9"/>
      <x:c r="B326" s="7"/>
      <x:c r="C326" s="7" t="str">
        <x:f>IF(B326="","",XLOOKUP(B326,Employees!$A$4:$A$53,Employees!$B$4:$B$53,""))</x:f>
      </x:c>
      <x:c r="D326" s="7"/>
      <x:c r="E326" s="10" t="n">
        <x:v>8</x:v>
      </x:c>
      <x:c r="F326" s="10"/>
      <x:c r="G326" s="10" t="str">
        <x:f>IF(F326="","",MIN(F326,E326))</x:f>
      </x:c>
      <x:c r="H326" s="10" t="str">
        <x:f>IF(F326="","",MAX(0,F326-E326))</x:f>
      </x:c>
      <x:c r="I326" s="24"/>
      <x:c r="J326" s="7"/>
      <x:c r="K326" s="8" t="str">
        <x:f>IF(A326="","",DATE(YEAR(A326),MONTH(A326),1))</x:f>
      </x:c>
    </x:row>
    <x:row r="327">
      <x:c r="A327" s="9"/>
      <x:c r="B327" s="7"/>
      <x:c r="C327" s="7" t="str">
        <x:f>IF(B327="","",XLOOKUP(B327,Employees!$A$4:$A$53,Employees!$B$4:$B$53,""))</x:f>
      </x:c>
      <x:c r="D327" s="7"/>
      <x:c r="E327" s="10" t="n">
        <x:v>8</x:v>
      </x:c>
      <x:c r="F327" s="10"/>
      <x:c r="G327" s="10" t="str">
        <x:f>IF(F327="","",MIN(F327,E327))</x:f>
      </x:c>
      <x:c r="H327" s="10" t="str">
        <x:f>IF(F327="","",MAX(0,F327-E327))</x:f>
      </x:c>
      <x:c r="I327" s="24"/>
      <x:c r="J327" s="7"/>
      <x:c r="K327" s="8" t="str">
        <x:f>IF(A327="","",DATE(YEAR(A327),MONTH(A327),1))</x:f>
      </x:c>
    </x:row>
    <x:row r="328">
      <x:c r="A328" s="9"/>
      <x:c r="B328" s="7"/>
      <x:c r="C328" s="7" t="str">
        <x:f>IF(B328="","",XLOOKUP(B328,Employees!$A$4:$A$53,Employees!$B$4:$B$53,""))</x:f>
      </x:c>
      <x:c r="D328" s="7"/>
      <x:c r="E328" s="10" t="n">
        <x:v>8</x:v>
      </x:c>
      <x:c r="F328" s="10"/>
      <x:c r="G328" s="10" t="str">
        <x:f>IF(F328="","",MIN(F328,E328))</x:f>
      </x:c>
      <x:c r="H328" s="10" t="str">
        <x:f>IF(F328="","",MAX(0,F328-E328))</x:f>
      </x:c>
      <x:c r="I328" s="24"/>
      <x:c r="J328" s="7"/>
      <x:c r="K328" s="8" t="str">
        <x:f>IF(A328="","",DATE(YEAR(A328),MONTH(A328),1))</x:f>
      </x:c>
    </x:row>
    <x:row r="329">
      <x:c r="A329" s="9"/>
      <x:c r="B329" s="7"/>
      <x:c r="C329" s="7" t="str">
        <x:f>IF(B329="","",XLOOKUP(B329,Employees!$A$4:$A$53,Employees!$B$4:$B$53,""))</x:f>
      </x:c>
      <x:c r="D329" s="7"/>
      <x:c r="E329" s="10" t="n">
        <x:v>8</x:v>
      </x:c>
      <x:c r="F329" s="10"/>
      <x:c r="G329" s="10" t="str">
        <x:f>IF(F329="","",MIN(F329,E329))</x:f>
      </x:c>
      <x:c r="H329" s="10" t="str">
        <x:f>IF(F329="","",MAX(0,F329-E329))</x:f>
      </x:c>
      <x:c r="I329" s="24"/>
      <x:c r="J329" s="7"/>
      <x:c r="K329" s="8" t="str">
        <x:f>IF(A329="","",DATE(YEAR(A329),MONTH(A329),1))</x:f>
      </x:c>
    </x:row>
    <x:row r="330">
      <x:c r="A330" s="9"/>
      <x:c r="B330" s="7"/>
      <x:c r="C330" s="7" t="str">
        <x:f>IF(B330="","",XLOOKUP(B330,Employees!$A$4:$A$53,Employees!$B$4:$B$53,""))</x:f>
      </x:c>
      <x:c r="D330" s="7"/>
      <x:c r="E330" s="10" t="n">
        <x:v>8</x:v>
      </x:c>
      <x:c r="F330" s="10"/>
      <x:c r="G330" s="10" t="str">
        <x:f>IF(F330="","",MIN(F330,E330))</x:f>
      </x:c>
      <x:c r="H330" s="10" t="str">
        <x:f>IF(F330="","",MAX(0,F330-E330))</x:f>
      </x:c>
      <x:c r="I330" s="24"/>
      <x:c r="J330" s="7"/>
      <x:c r="K330" s="8" t="str">
        <x:f>IF(A330="","",DATE(YEAR(A330),MONTH(A330),1))</x:f>
      </x:c>
    </x:row>
    <x:row r="331">
      <x:c r="A331" s="9"/>
      <x:c r="B331" s="7"/>
      <x:c r="C331" s="7" t="str">
        <x:f>IF(B331="","",XLOOKUP(B331,Employees!$A$4:$A$53,Employees!$B$4:$B$53,""))</x:f>
      </x:c>
      <x:c r="D331" s="7"/>
      <x:c r="E331" s="10" t="n">
        <x:v>8</x:v>
      </x:c>
      <x:c r="F331" s="10"/>
      <x:c r="G331" s="10" t="str">
        <x:f>IF(F331="","",MIN(F331,E331))</x:f>
      </x:c>
      <x:c r="H331" s="10" t="str">
        <x:f>IF(F331="","",MAX(0,F331-E331))</x:f>
      </x:c>
      <x:c r="I331" s="24"/>
      <x:c r="J331" s="7"/>
      <x:c r="K331" s="8" t="str">
        <x:f>IF(A331="","",DATE(YEAR(A331),MONTH(A331),1))</x:f>
      </x:c>
    </x:row>
    <x:row r="332">
      <x:c r="A332" s="9"/>
      <x:c r="B332" s="7"/>
      <x:c r="C332" s="7" t="str">
        <x:f>IF(B332="","",XLOOKUP(B332,Employees!$A$4:$A$53,Employees!$B$4:$B$53,""))</x:f>
      </x:c>
      <x:c r="D332" s="7"/>
      <x:c r="E332" s="10" t="n">
        <x:v>8</x:v>
      </x:c>
      <x:c r="F332" s="10"/>
      <x:c r="G332" s="10" t="str">
        <x:f>IF(F332="","",MIN(F332,E332))</x:f>
      </x:c>
      <x:c r="H332" s="10" t="str">
        <x:f>IF(F332="","",MAX(0,F332-E332))</x:f>
      </x:c>
      <x:c r="I332" s="24"/>
      <x:c r="J332" s="7"/>
      <x:c r="K332" s="8" t="str">
        <x:f>IF(A332="","",DATE(YEAR(A332),MONTH(A332),1))</x:f>
      </x:c>
    </x:row>
    <x:row r="333">
      <x:c r="A333" s="9"/>
      <x:c r="B333" s="7"/>
      <x:c r="C333" s="7" t="str">
        <x:f>IF(B333="","",XLOOKUP(B333,Employees!$A$4:$A$53,Employees!$B$4:$B$53,""))</x:f>
      </x:c>
      <x:c r="D333" s="7"/>
      <x:c r="E333" s="10" t="n">
        <x:v>8</x:v>
      </x:c>
      <x:c r="F333" s="10"/>
      <x:c r="G333" s="10" t="str">
        <x:f>IF(F333="","",MIN(F333,E333))</x:f>
      </x:c>
      <x:c r="H333" s="10" t="str">
        <x:f>IF(F333="","",MAX(0,F333-E333))</x:f>
      </x:c>
      <x:c r="I333" s="24"/>
      <x:c r="J333" s="7"/>
      <x:c r="K333" s="8" t="str">
        <x:f>IF(A333="","",DATE(YEAR(A333),MONTH(A333),1))</x:f>
      </x:c>
    </x:row>
    <x:row r="334">
      <x:c r="A334" s="9"/>
      <x:c r="B334" s="7"/>
      <x:c r="C334" s="7" t="str">
        <x:f>IF(B334="","",XLOOKUP(B334,Employees!$A$4:$A$53,Employees!$B$4:$B$53,""))</x:f>
      </x:c>
      <x:c r="D334" s="7"/>
      <x:c r="E334" s="10" t="n">
        <x:v>8</x:v>
      </x:c>
      <x:c r="F334" s="10"/>
      <x:c r="G334" s="10" t="str">
        <x:f>IF(F334="","",MIN(F334,E334))</x:f>
      </x:c>
      <x:c r="H334" s="10" t="str">
        <x:f>IF(F334="","",MAX(0,F334-E334))</x:f>
      </x:c>
      <x:c r="I334" s="24"/>
      <x:c r="J334" s="7"/>
      <x:c r="K334" s="8" t="str">
        <x:f>IF(A334="","",DATE(YEAR(A334),MONTH(A334),1))</x:f>
      </x:c>
    </x:row>
    <x:row r="335">
      <x:c r="A335" s="9"/>
      <x:c r="B335" s="7"/>
      <x:c r="C335" s="7" t="str">
        <x:f>IF(B335="","",XLOOKUP(B335,Employees!$A$4:$A$53,Employees!$B$4:$B$53,""))</x:f>
      </x:c>
      <x:c r="D335" s="7"/>
      <x:c r="E335" s="10" t="n">
        <x:v>8</x:v>
      </x:c>
      <x:c r="F335" s="10"/>
      <x:c r="G335" s="10" t="str">
        <x:f>IF(F335="","",MIN(F335,E335))</x:f>
      </x:c>
      <x:c r="H335" s="10" t="str">
        <x:f>IF(F335="","",MAX(0,F335-E335))</x:f>
      </x:c>
      <x:c r="I335" s="24"/>
      <x:c r="J335" s="7"/>
      <x:c r="K335" s="8" t="str">
        <x:f>IF(A335="","",DATE(YEAR(A335),MONTH(A335),1))</x:f>
      </x:c>
    </x:row>
    <x:row r="336">
      <x:c r="A336" s="9"/>
      <x:c r="B336" s="7"/>
      <x:c r="C336" s="7" t="str">
        <x:f>IF(B336="","",XLOOKUP(B336,Employees!$A$4:$A$53,Employees!$B$4:$B$53,""))</x:f>
      </x:c>
      <x:c r="D336" s="7"/>
      <x:c r="E336" s="10" t="n">
        <x:v>8</x:v>
      </x:c>
      <x:c r="F336" s="10"/>
      <x:c r="G336" s="10" t="str">
        <x:f>IF(F336="","",MIN(F336,E336))</x:f>
      </x:c>
      <x:c r="H336" s="10" t="str">
        <x:f>IF(F336="","",MAX(0,F336-E336))</x:f>
      </x:c>
      <x:c r="I336" s="24"/>
      <x:c r="J336" s="7"/>
      <x:c r="K336" s="8" t="str">
        <x:f>IF(A336="","",DATE(YEAR(A336),MONTH(A336),1))</x:f>
      </x:c>
    </x:row>
    <x:row r="337">
      <x:c r="A337" s="9"/>
      <x:c r="B337" s="7"/>
      <x:c r="C337" s="7" t="str">
        <x:f>IF(B337="","",XLOOKUP(B337,Employees!$A$4:$A$53,Employees!$B$4:$B$53,""))</x:f>
      </x:c>
      <x:c r="D337" s="7"/>
      <x:c r="E337" s="10" t="n">
        <x:v>8</x:v>
      </x:c>
      <x:c r="F337" s="10"/>
      <x:c r="G337" s="10" t="str">
        <x:f>IF(F337="","",MIN(F337,E337))</x:f>
      </x:c>
      <x:c r="H337" s="10" t="str">
        <x:f>IF(F337="","",MAX(0,F337-E337))</x:f>
      </x:c>
      <x:c r="I337" s="24"/>
      <x:c r="J337" s="7"/>
      <x:c r="K337" s="8" t="str">
        <x:f>IF(A337="","",DATE(YEAR(A337),MONTH(A337),1))</x:f>
      </x:c>
    </x:row>
    <x:row r="338">
      <x:c r="A338" s="9"/>
      <x:c r="B338" s="7"/>
      <x:c r="C338" s="7" t="str">
        <x:f>IF(B338="","",XLOOKUP(B338,Employees!$A$4:$A$53,Employees!$B$4:$B$53,""))</x:f>
      </x:c>
      <x:c r="D338" s="7"/>
      <x:c r="E338" s="10" t="n">
        <x:v>8</x:v>
      </x:c>
      <x:c r="F338" s="10"/>
      <x:c r="G338" s="10" t="str">
        <x:f>IF(F338="","",MIN(F338,E338))</x:f>
      </x:c>
      <x:c r="H338" s="10" t="str">
        <x:f>IF(F338="","",MAX(0,F338-E338))</x:f>
      </x:c>
      <x:c r="I338" s="24"/>
      <x:c r="J338" s="7"/>
      <x:c r="K338" s="8" t="str">
        <x:f>IF(A338="","",DATE(YEAR(A338),MONTH(A338),1))</x:f>
      </x:c>
    </x:row>
    <x:row r="339">
      <x:c r="A339" s="9"/>
      <x:c r="B339" s="7"/>
      <x:c r="C339" s="7" t="str">
        <x:f>IF(B339="","",XLOOKUP(B339,Employees!$A$4:$A$53,Employees!$B$4:$B$53,""))</x:f>
      </x:c>
      <x:c r="D339" s="7"/>
      <x:c r="E339" s="10" t="n">
        <x:v>8</x:v>
      </x:c>
      <x:c r="F339" s="10"/>
      <x:c r="G339" s="10" t="str">
        <x:f>IF(F339="","",MIN(F339,E339))</x:f>
      </x:c>
      <x:c r="H339" s="10" t="str">
        <x:f>IF(F339="","",MAX(0,F339-E339))</x:f>
      </x:c>
      <x:c r="I339" s="24"/>
      <x:c r="J339" s="7"/>
      <x:c r="K339" s="8" t="str">
        <x:f>IF(A339="","",DATE(YEAR(A339),MONTH(A339),1))</x:f>
      </x:c>
    </x:row>
    <x:row r="340">
      <x:c r="A340" s="9"/>
      <x:c r="B340" s="7"/>
      <x:c r="C340" s="7" t="str">
        <x:f>IF(B340="","",XLOOKUP(B340,Employees!$A$4:$A$53,Employees!$B$4:$B$53,""))</x:f>
      </x:c>
      <x:c r="D340" s="7"/>
      <x:c r="E340" s="10" t="n">
        <x:v>8</x:v>
      </x:c>
      <x:c r="F340" s="10"/>
      <x:c r="G340" s="10" t="str">
        <x:f>IF(F340="","",MIN(F340,E340))</x:f>
      </x:c>
      <x:c r="H340" s="10" t="str">
        <x:f>IF(F340="","",MAX(0,F340-E340))</x:f>
      </x:c>
      <x:c r="I340" s="24"/>
      <x:c r="J340" s="7"/>
      <x:c r="K340" s="8" t="str">
        <x:f>IF(A340="","",DATE(YEAR(A340),MONTH(A340),1))</x:f>
      </x:c>
    </x:row>
    <x:row r="341">
      <x:c r="A341" s="9"/>
      <x:c r="B341" s="7"/>
      <x:c r="C341" s="7" t="str">
        <x:f>IF(B341="","",XLOOKUP(B341,Employees!$A$4:$A$53,Employees!$B$4:$B$53,""))</x:f>
      </x:c>
      <x:c r="D341" s="7"/>
      <x:c r="E341" s="10" t="n">
        <x:v>8</x:v>
      </x:c>
      <x:c r="F341" s="10"/>
      <x:c r="G341" s="10" t="str">
        <x:f>IF(F341="","",MIN(F341,E341))</x:f>
      </x:c>
      <x:c r="H341" s="10" t="str">
        <x:f>IF(F341="","",MAX(0,F341-E341))</x:f>
      </x:c>
      <x:c r="I341" s="24"/>
      <x:c r="J341" s="7"/>
      <x:c r="K341" s="8" t="str">
        <x:f>IF(A341="","",DATE(YEAR(A341),MONTH(A341),1))</x:f>
      </x:c>
    </x:row>
    <x:row r="342">
      <x:c r="A342" s="9"/>
      <x:c r="B342" s="7"/>
      <x:c r="C342" s="7" t="str">
        <x:f>IF(B342="","",XLOOKUP(B342,Employees!$A$4:$A$53,Employees!$B$4:$B$53,""))</x:f>
      </x:c>
      <x:c r="D342" s="7"/>
      <x:c r="E342" s="10" t="n">
        <x:v>8</x:v>
      </x:c>
      <x:c r="F342" s="10"/>
      <x:c r="G342" s="10" t="str">
        <x:f>IF(F342="","",MIN(F342,E342))</x:f>
      </x:c>
      <x:c r="H342" s="10" t="str">
        <x:f>IF(F342="","",MAX(0,F342-E342))</x:f>
      </x:c>
      <x:c r="I342" s="24"/>
      <x:c r="J342" s="7"/>
      <x:c r="K342" s="8" t="str">
        <x:f>IF(A342="","",DATE(YEAR(A342),MONTH(A342),1))</x:f>
      </x:c>
    </x:row>
    <x:row r="343">
      <x:c r="A343" s="9"/>
      <x:c r="B343" s="7"/>
      <x:c r="C343" s="7" t="str">
        <x:f>IF(B343="","",XLOOKUP(B343,Employees!$A$4:$A$53,Employees!$B$4:$B$53,""))</x:f>
      </x:c>
      <x:c r="D343" s="7"/>
      <x:c r="E343" s="10" t="n">
        <x:v>8</x:v>
      </x:c>
      <x:c r="F343" s="10"/>
      <x:c r="G343" s="10" t="str">
        <x:f>IF(F343="","",MIN(F343,E343))</x:f>
      </x:c>
      <x:c r="H343" s="10" t="str">
        <x:f>IF(F343="","",MAX(0,F343-E343))</x:f>
      </x:c>
      <x:c r="I343" s="24"/>
      <x:c r="J343" s="7"/>
      <x:c r="K343" s="8" t="str">
        <x:f>IF(A343="","",DATE(YEAR(A343),MONTH(A343),1))</x:f>
      </x:c>
    </x:row>
    <x:row r="344">
      <x:c r="A344" s="9"/>
      <x:c r="B344" s="7"/>
      <x:c r="C344" s="7" t="str">
        <x:f>IF(B344="","",XLOOKUP(B344,Employees!$A$4:$A$53,Employees!$B$4:$B$53,""))</x:f>
      </x:c>
      <x:c r="D344" s="7"/>
      <x:c r="E344" s="10" t="n">
        <x:v>8</x:v>
      </x:c>
      <x:c r="F344" s="10"/>
      <x:c r="G344" s="10" t="str">
        <x:f>IF(F344="","",MIN(F344,E344))</x:f>
      </x:c>
      <x:c r="H344" s="10" t="str">
        <x:f>IF(F344="","",MAX(0,F344-E344))</x:f>
      </x:c>
      <x:c r="I344" s="24"/>
      <x:c r="J344" s="7"/>
      <x:c r="K344" s="8" t="str">
        <x:f>IF(A344="","",DATE(YEAR(A344),MONTH(A344),1))</x:f>
      </x:c>
    </x:row>
    <x:row r="345">
      <x:c r="A345" s="9"/>
      <x:c r="B345" s="7"/>
      <x:c r="C345" s="7" t="str">
        <x:f>IF(B345="","",XLOOKUP(B345,Employees!$A$4:$A$53,Employees!$B$4:$B$53,""))</x:f>
      </x:c>
      <x:c r="D345" s="7"/>
      <x:c r="E345" s="10" t="n">
        <x:v>8</x:v>
      </x:c>
      <x:c r="F345" s="10"/>
      <x:c r="G345" s="10" t="str">
        <x:f>IF(F345="","",MIN(F345,E345))</x:f>
      </x:c>
      <x:c r="H345" s="10" t="str">
        <x:f>IF(F345="","",MAX(0,F345-E345))</x:f>
      </x:c>
      <x:c r="I345" s="24"/>
      <x:c r="J345" s="7"/>
      <x:c r="K345" s="8" t="str">
        <x:f>IF(A345="","",DATE(YEAR(A345),MONTH(A345),1))</x:f>
      </x:c>
    </x:row>
    <x:row r="346">
      <x:c r="A346" s="9"/>
      <x:c r="B346" s="7"/>
      <x:c r="C346" s="7" t="str">
        <x:f>IF(B346="","",XLOOKUP(B346,Employees!$A$4:$A$53,Employees!$B$4:$B$53,""))</x:f>
      </x:c>
      <x:c r="D346" s="7"/>
      <x:c r="E346" s="10" t="n">
        <x:v>8</x:v>
      </x:c>
      <x:c r="F346" s="10"/>
      <x:c r="G346" s="10" t="str">
        <x:f>IF(F346="","",MIN(F346,E346))</x:f>
      </x:c>
      <x:c r="H346" s="10" t="str">
        <x:f>IF(F346="","",MAX(0,F346-E346))</x:f>
      </x:c>
      <x:c r="I346" s="24"/>
      <x:c r="J346" s="7"/>
      <x:c r="K346" s="8" t="str">
        <x:f>IF(A346="","",DATE(YEAR(A346),MONTH(A346),1))</x:f>
      </x:c>
    </x:row>
    <x:row r="347">
      <x:c r="A347" s="9"/>
      <x:c r="B347" s="7"/>
      <x:c r="C347" s="7" t="str">
        <x:f>IF(B347="","",XLOOKUP(B347,Employees!$A$4:$A$53,Employees!$B$4:$B$53,""))</x:f>
      </x:c>
      <x:c r="D347" s="7"/>
      <x:c r="E347" s="10" t="n">
        <x:v>8</x:v>
      </x:c>
      <x:c r="F347" s="10"/>
      <x:c r="G347" s="10" t="str">
        <x:f>IF(F347="","",MIN(F347,E347))</x:f>
      </x:c>
      <x:c r="H347" s="10" t="str">
        <x:f>IF(F347="","",MAX(0,F347-E347))</x:f>
      </x:c>
      <x:c r="I347" s="24"/>
      <x:c r="J347" s="7"/>
      <x:c r="K347" s="8" t="str">
        <x:f>IF(A347="","",DATE(YEAR(A347),MONTH(A347),1))</x:f>
      </x:c>
    </x:row>
    <x:row r="348">
      <x:c r="A348" s="9"/>
      <x:c r="B348" s="7"/>
      <x:c r="C348" s="7" t="str">
        <x:f>IF(B348="","",XLOOKUP(B348,Employees!$A$4:$A$53,Employees!$B$4:$B$53,""))</x:f>
      </x:c>
      <x:c r="D348" s="7"/>
      <x:c r="E348" s="10" t="n">
        <x:v>8</x:v>
      </x:c>
      <x:c r="F348" s="10"/>
      <x:c r="G348" s="10" t="str">
        <x:f>IF(F348="","",MIN(F348,E348))</x:f>
      </x:c>
      <x:c r="H348" s="10" t="str">
        <x:f>IF(F348="","",MAX(0,F348-E348))</x:f>
      </x:c>
      <x:c r="I348" s="24"/>
      <x:c r="J348" s="7"/>
      <x:c r="K348" s="8" t="str">
        <x:f>IF(A348="","",DATE(YEAR(A348),MONTH(A348),1))</x:f>
      </x:c>
    </x:row>
    <x:row r="349">
      <x:c r="A349" s="9"/>
      <x:c r="B349" s="7"/>
      <x:c r="C349" s="7" t="str">
        <x:f>IF(B349="","",XLOOKUP(B349,Employees!$A$4:$A$53,Employees!$B$4:$B$53,""))</x:f>
      </x:c>
      <x:c r="D349" s="7"/>
      <x:c r="E349" s="10" t="n">
        <x:v>8</x:v>
      </x:c>
      <x:c r="F349" s="10"/>
      <x:c r="G349" s="10" t="str">
        <x:f>IF(F349="","",MIN(F349,E349))</x:f>
      </x:c>
      <x:c r="H349" s="10" t="str">
        <x:f>IF(F349="","",MAX(0,F349-E349))</x:f>
      </x:c>
      <x:c r="I349" s="24"/>
      <x:c r="J349" s="7"/>
      <x:c r="K349" s="8" t="str">
        <x:f>IF(A349="","",DATE(YEAR(A349),MONTH(A349),1))</x:f>
      </x:c>
    </x:row>
    <x:row r="350">
      <x:c r="A350" s="9"/>
      <x:c r="B350" s="7"/>
      <x:c r="C350" s="7" t="str">
        <x:f>IF(B350="","",XLOOKUP(B350,Employees!$A$4:$A$53,Employees!$B$4:$B$53,""))</x:f>
      </x:c>
      <x:c r="D350" s="7"/>
      <x:c r="E350" s="10" t="n">
        <x:v>8</x:v>
      </x:c>
      <x:c r="F350" s="10"/>
      <x:c r="G350" s="10" t="str">
        <x:f>IF(F350="","",MIN(F350,E350))</x:f>
      </x:c>
      <x:c r="H350" s="10" t="str">
        <x:f>IF(F350="","",MAX(0,F350-E350))</x:f>
      </x:c>
      <x:c r="I350" s="24"/>
      <x:c r="J350" s="7"/>
      <x:c r="K350" s="8" t="str">
        <x:f>IF(A350="","",DATE(YEAR(A350),MONTH(A350),1))</x:f>
      </x:c>
    </x:row>
    <x:row r="351">
      <x:c r="A351" s="9"/>
      <x:c r="B351" s="7"/>
      <x:c r="C351" s="7" t="str">
        <x:f>IF(B351="","",XLOOKUP(B351,Employees!$A$4:$A$53,Employees!$B$4:$B$53,""))</x:f>
      </x:c>
      <x:c r="D351" s="7"/>
      <x:c r="E351" s="10" t="n">
        <x:v>8</x:v>
      </x:c>
      <x:c r="F351" s="10"/>
      <x:c r="G351" s="10" t="str">
        <x:f>IF(F351="","",MIN(F351,E351))</x:f>
      </x:c>
      <x:c r="H351" s="10" t="str">
        <x:f>IF(F351="","",MAX(0,F351-E351))</x:f>
      </x:c>
      <x:c r="I351" s="24"/>
      <x:c r="J351" s="7"/>
      <x:c r="K351" s="8" t="str">
        <x:f>IF(A351="","",DATE(YEAR(A351),MONTH(A351),1))</x:f>
      </x:c>
    </x:row>
    <x:row r="352">
      <x:c r="A352" s="9"/>
      <x:c r="B352" s="7"/>
      <x:c r="C352" s="7" t="str">
        <x:f>IF(B352="","",XLOOKUP(B352,Employees!$A$4:$A$53,Employees!$B$4:$B$53,""))</x:f>
      </x:c>
      <x:c r="D352" s="7"/>
      <x:c r="E352" s="10" t="n">
        <x:v>8</x:v>
      </x:c>
      <x:c r="F352" s="10"/>
      <x:c r="G352" s="10" t="str">
        <x:f>IF(F352="","",MIN(F352,E352))</x:f>
      </x:c>
      <x:c r="H352" s="10" t="str">
        <x:f>IF(F352="","",MAX(0,F352-E352))</x:f>
      </x:c>
      <x:c r="I352" s="24"/>
      <x:c r="J352" s="7"/>
      <x:c r="K352" s="8" t="str">
        <x:f>IF(A352="","",DATE(YEAR(A352),MONTH(A352),1))</x:f>
      </x:c>
    </x:row>
    <x:row r="353">
      <x:c r="A353" s="9"/>
      <x:c r="B353" s="7"/>
      <x:c r="C353" s="7" t="str">
        <x:f>IF(B353="","",XLOOKUP(B353,Employees!$A$4:$A$53,Employees!$B$4:$B$53,""))</x:f>
      </x:c>
      <x:c r="D353" s="7"/>
      <x:c r="E353" s="10" t="n">
        <x:v>8</x:v>
      </x:c>
      <x:c r="F353" s="10"/>
      <x:c r="G353" s="10" t="str">
        <x:f>IF(F353="","",MIN(F353,E353))</x:f>
      </x:c>
      <x:c r="H353" s="10" t="str">
        <x:f>IF(F353="","",MAX(0,F353-E353))</x:f>
      </x:c>
      <x:c r="I353" s="24"/>
      <x:c r="J353" s="7"/>
      <x:c r="K353" s="8" t="str">
        <x:f>IF(A353="","",DATE(YEAR(A353),MONTH(A353),1))</x:f>
      </x:c>
    </x:row>
    <x:row r="354">
      <x:c r="A354" s="9"/>
      <x:c r="B354" s="7"/>
      <x:c r="C354" s="7" t="str">
        <x:f>IF(B354="","",XLOOKUP(B354,Employees!$A$4:$A$53,Employees!$B$4:$B$53,""))</x:f>
      </x:c>
      <x:c r="D354" s="7"/>
      <x:c r="E354" s="10" t="n">
        <x:v>8</x:v>
      </x:c>
      <x:c r="F354" s="10"/>
      <x:c r="G354" s="10" t="str">
        <x:f>IF(F354="","",MIN(F354,E354))</x:f>
      </x:c>
      <x:c r="H354" s="10" t="str">
        <x:f>IF(F354="","",MAX(0,F354-E354))</x:f>
      </x:c>
      <x:c r="I354" s="24"/>
      <x:c r="J354" s="7"/>
      <x:c r="K354" s="8" t="str">
        <x:f>IF(A354="","",DATE(YEAR(A354),MONTH(A354),1))</x:f>
      </x:c>
    </x:row>
    <x:row r="355">
      <x:c r="A355" s="9"/>
      <x:c r="B355" s="7"/>
      <x:c r="C355" s="7" t="str">
        <x:f>IF(B355="","",XLOOKUP(B355,Employees!$A$4:$A$53,Employees!$B$4:$B$53,""))</x:f>
      </x:c>
      <x:c r="D355" s="7"/>
      <x:c r="E355" s="10" t="n">
        <x:v>8</x:v>
      </x:c>
      <x:c r="F355" s="10"/>
      <x:c r="G355" s="10" t="str">
        <x:f>IF(F355="","",MIN(F355,E355))</x:f>
      </x:c>
      <x:c r="H355" s="10" t="str">
        <x:f>IF(F355="","",MAX(0,F355-E355))</x:f>
      </x:c>
      <x:c r="I355" s="24"/>
      <x:c r="J355" s="7"/>
      <x:c r="K355" s="8" t="str">
        <x:f>IF(A355="","",DATE(YEAR(A355),MONTH(A355),1))</x:f>
      </x:c>
    </x:row>
    <x:row r="356">
      <x:c r="A356" s="9"/>
      <x:c r="B356" s="7"/>
      <x:c r="C356" s="7" t="str">
        <x:f>IF(B356="","",XLOOKUP(B356,Employees!$A$4:$A$53,Employees!$B$4:$B$53,""))</x:f>
      </x:c>
      <x:c r="D356" s="7"/>
      <x:c r="E356" s="10" t="n">
        <x:v>8</x:v>
      </x:c>
      <x:c r="F356" s="10"/>
      <x:c r="G356" s="10" t="str">
        <x:f>IF(F356="","",MIN(F356,E356))</x:f>
      </x:c>
      <x:c r="H356" s="10" t="str">
        <x:f>IF(F356="","",MAX(0,F356-E356))</x:f>
      </x:c>
      <x:c r="I356" s="24"/>
      <x:c r="J356" s="7"/>
      <x:c r="K356" s="8" t="str">
        <x:f>IF(A356="","",DATE(YEAR(A356),MONTH(A356),1))</x:f>
      </x:c>
    </x:row>
    <x:row r="357">
      <x:c r="A357" s="9"/>
      <x:c r="B357" s="7"/>
      <x:c r="C357" s="7" t="str">
        <x:f>IF(B357="","",XLOOKUP(B357,Employees!$A$4:$A$53,Employees!$B$4:$B$53,""))</x:f>
      </x:c>
      <x:c r="D357" s="7"/>
      <x:c r="E357" s="10" t="n">
        <x:v>8</x:v>
      </x:c>
      <x:c r="F357" s="10"/>
      <x:c r="G357" s="10" t="str">
        <x:f>IF(F357="","",MIN(F357,E357))</x:f>
      </x:c>
      <x:c r="H357" s="10" t="str">
        <x:f>IF(F357="","",MAX(0,F357-E357))</x:f>
      </x:c>
      <x:c r="I357" s="24"/>
      <x:c r="J357" s="7"/>
      <x:c r="K357" s="8" t="str">
        <x:f>IF(A357="","",DATE(YEAR(A357),MONTH(A357),1))</x:f>
      </x:c>
    </x:row>
    <x:row r="358">
      <x:c r="A358" s="9"/>
      <x:c r="B358" s="7"/>
      <x:c r="C358" s="7" t="str">
        <x:f>IF(B358="","",XLOOKUP(B358,Employees!$A$4:$A$53,Employees!$B$4:$B$53,""))</x:f>
      </x:c>
      <x:c r="D358" s="7"/>
      <x:c r="E358" s="10" t="n">
        <x:v>8</x:v>
      </x:c>
      <x:c r="F358" s="10"/>
      <x:c r="G358" s="10" t="str">
        <x:f>IF(F358="","",MIN(F358,E358))</x:f>
      </x:c>
      <x:c r="H358" s="10" t="str">
        <x:f>IF(F358="","",MAX(0,F358-E358))</x:f>
      </x:c>
      <x:c r="I358" s="24"/>
      <x:c r="J358" s="7"/>
      <x:c r="K358" s="8" t="str">
        <x:f>IF(A358="","",DATE(YEAR(A358),MONTH(A358),1))</x:f>
      </x:c>
    </x:row>
    <x:row r="359">
      <x:c r="A359" s="9"/>
      <x:c r="B359" s="7"/>
      <x:c r="C359" s="7" t="str">
        <x:f>IF(B359="","",XLOOKUP(B359,Employees!$A$4:$A$53,Employees!$B$4:$B$53,""))</x:f>
      </x:c>
      <x:c r="D359" s="7"/>
      <x:c r="E359" s="10" t="n">
        <x:v>8</x:v>
      </x:c>
      <x:c r="F359" s="10"/>
      <x:c r="G359" s="10" t="str">
        <x:f>IF(F359="","",MIN(F359,E359))</x:f>
      </x:c>
      <x:c r="H359" s="10" t="str">
        <x:f>IF(F359="","",MAX(0,F359-E359))</x:f>
      </x:c>
      <x:c r="I359" s="24"/>
      <x:c r="J359" s="7"/>
      <x:c r="K359" s="8" t="str">
        <x:f>IF(A359="","",DATE(YEAR(A359),MONTH(A359),1))</x:f>
      </x:c>
    </x:row>
    <x:row r="360">
      <x:c r="A360" s="9"/>
      <x:c r="B360" s="7"/>
      <x:c r="C360" s="7" t="str">
        <x:f>IF(B360="","",XLOOKUP(B360,Employees!$A$4:$A$53,Employees!$B$4:$B$53,""))</x:f>
      </x:c>
      <x:c r="D360" s="7"/>
      <x:c r="E360" s="10" t="n">
        <x:v>8</x:v>
      </x:c>
      <x:c r="F360" s="10"/>
      <x:c r="G360" s="10" t="str">
        <x:f>IF(F360="","",MIN(F360,E360))</x:f>
      </x:c>
      <x:c r="H360" s="10" t="str">
        <x:f>IF(F360="","",MAX(0,F360-E360))</x:f>
      </x:c>
      <x:c r="I360" s="24"/>
      <x:c r="J360" s="7"/>
      <x:c r="K360" s="8" t="str">
        <x:f>IF(A360="","",DATE(YEAR(A360),MONTH(A360),1))</x:f>
      </x:c>
    </x:row>
    <x:row r="361">
      <x:c r="A361" s="9"/>
      <x:c r="B361" s="7"/>
      <x:c r="C361" s="7" t="str">
        <x:f>IF(B361="","",XLOOKUP(B361,Employees!$A$4:$A$53,Employees!$B$4:$B$53,""))</x:f>
      </x:c>
      <x:c r="D361" s="7"/>
      <x:c r="E361" s="10" t="n">
        <x:v>8</x:v>
      </x:c>
      <x:c r="F361" s="10"/>
      <x:c r="G361" s="10" t="str">
        <x:f>IF(F361="","",MIN(F361,E361))</x:f>
      </x:c>
      <x:c r="H361" s="10" t="str">
        <x:f>IF(F361="","",MAX(0,F361-E361))</x:f>
      </x:c>
      <x:c r="I361" s="24"/>
      <x:c r="J361" s="7"/>
      <x:c r="K361" s="8" t="str">
        <x:f>IF(A361="","",DATE(YEAR(A361),MONTH(A361),1))</x:f>
      </x:c>
    </x:row>
    <x:row r="362">
      <x:c r="A362" s="9"/>
      <x:c r="B362" s="7"/>
      <x:c r="C362" s="7" t="str">
        <x:f>IF(B362="","",XLOOKUP(B362,Employees!$A$4:$A$53,Employees!$B$4:$B$53,""))</x:f>
      </x:c>
      <x:c r="D362" s="7"/>
      <x:c r="E362" s="10" t="n">
        <x:v>8</x:v>
      </x:c>
      <x:c r="F362" s="10"/>
      <x:c r="G362" s="10" t="str">
        <x:f>IF(F362="","",MIN(F362,E362))</x:f>
      </x:c>
      <x:c r="H362" s="10" t="str">
        <x:f>IF(F362="","",MAX(0,F362-E362))</x:f>
      </x:c>
      <x:c r="I362" s="24"/>
      <x:c r="J362" s="7"/>
      <x:c r="K362" s="8" t="str">
        <x:f>IF(A362="","",DATE(YEAR(A362),MONTH(A362),1))</x:f>
      </x:c>
    </x:row>
    <x:row r="363">
      <x:c r="A363" s="9"/>
      <x:c r="B363" s="7"/>
      <x:c r="C363" s="7" t="str">
        <x:f>IF(B363="","",XLOOKUP(B363,Employees!$A$4:$A$53,Employees!$B$4:$B$53,""))</x:f>
      </x:c>
      <x:c r="D363" s="7"/>
      <x:c r="E363" s="10" t="n">
        <x:v>8</x:v>
      </x:c>
      <x:c r="F363" s="10"/>
      <x:c r="G363" s="10" t="str">
        <x:f>IF(F363="","",MIN(F363,E363))</x:f>
      </x:c>
      <x:c r="H363" s="10" t="str">
        <x:f>IF(F363="","",MAX(0,F363-E363))</x:f>
      </x:c>
      <x:c r="I363" s="24"/>
      <x:c r="J363" s="7"/>
      <x:c r="K363" s="8" t="str">
        <x:f>IF(A363="","",DATE(YEAR(A363),MONTH(A363),1))</x:f>
      </x:c>
    </x:row>
    <x:row r="364">
      <x:c r="A364" s="9"/>
      <x:c r="B364" s="7"/>
      <x:c r="C364" s="7" t="str">
        <x:f>IF(B364="","",XLOOKUP(B364,Employees!$A$4:$A$53,Employees!$B$4:$B$53,""))</x:f>
      </x:c>
      <x:c r="D364" s="7"/>
      <x:c r="E364" s="10" t="n">
        <x:v>8</x:v>
      </x:c>
      <x:c r="F364" s="10"/>
      <x:c r="G364" s="10" t="str">
        <x:f>IF(F364="","",MIN(F364,E364))</x:f>
      </x:c>
      <x:c r="H364" s="10" t="str">
        <x:f>IF(F364="","",MAX(0,F364-E364))</x:f>
      </x:c>
      <x:c r="I364" s="24"/>
      <x:c r="J364" s="7"/>
      <x:c r="K364" s="8" t="str">
        <x:f>IF(A364="","",DATE(YEAR(A364),MONTH(A364),1))</x:f>
      </x:c>
    </x:row>
    <x:row r="365">
      <x:c r="A365" s="9"/>
      <x:c r="B365" s="7"/>
      <x:c r="C365" s="7" t="str">
        <x:f>IF(B365="","",XLOOKUP(B365,Employees!$A$4:$A$53,Employees!$B$4:$B$53,""))</x:f>
      </x:c>
      <x:c r="D365" s="7"/>
      <x:c r="E365" s="10" t="n">
        <x:v>8</x:v>
      </x:c>
      <x:c r="F365" s="10"/>
      <x:c r="G365" s="10" t="str">
        <x:f>IF(F365="","",MIN(F365,E365))</x:f>
      </x:c>
      <x:c r="H365" s="10" t="str">
        <x:f>IF(F365="","",MAX(0,F365-E365))</x:f>
      </x:c>
      <x:c r="I365" s="24"/>
      <x:c r="J365" s="7"/>
      <x:c r="K365" s="8" t="str">
        <x:f>IF(A365="","",DATE(YEAR(A365),MONTH(A365),1))</x:f>
      </x:c>
    </x:row>
    <x:row r="366">
      <x:c r="A366" s="9"/>
      <x:c r="B366" s="7"/>
      <x:c r="C366" s="7" t="str">
        <x:f>IF(B366="","",XLOOKUP(B366,Employees!$A$4:$A$53,Employees!$B$4:$B$53,""))</x:f>
      </x:c>
      <x:c r="D366" s="7"/>
      <x:c r="E366" s="10" t="n">
        <x:v>8</x:v>
      </x:c>
      <x:c r="F366" s="10"/>
      <x:c r="G366" s="10" t="str">
        <x:f>IF(F366="","",MIN(F366,E366))</x:f>
      </x:c>
      <x:c r="H366" s="10" t="str">
        <x:f>IF(F366="","",MAX(0,F366-E366))</x:f>
      </x:c>
      <x:c r="I366" s="24"/>
      <x:c r="J366" s="7"/>
      <x:c r="K366" s="8" t="str">
        <x:f>IF(A366="","",DATE(YEAR(A366),MONTH(A366),1))</x:f>
      </x:c>
    </x:row>
    <x:row r="367">
      <x:c r="A367" s="9"/>
      <x:c r="B367" s="7"/>
      <x:c r="C367" s="7" t="str">
        <x:f>IF(B367="","",XLOOKUP(B367,Employees!$A$4:$A$53,Employees!$B$4:$B$53,""))</x:f>
      </x:c>
      <x:c r="D367" s="7"/>
      <x:c r="E367" s="10" t="n">
        <x:v>8</x:v>
      </x:c>
      <x:c r="F367" s="10"/>
      <x:c r="G367" s="10" t="str">
        <x:f>IF(F367="","",MIN(F367,E367))</x:f>
      </x:c>
      <x:c r="H367" s="10" t="str">
        <x:f>IF(F367="","",MAX(0,F367-E367))</x:f>
      </x:c>
      <x:c r="I367" s="24"/>
      <x:c r="J367" s="7"/>
      <x:c r="K367" s="8" t="str">
        <x:f>IF(A367="","",DATE(YEAR(A367),MONTH(A367),1))</x:f>
      </x:c>
    </x:row>
    <x:row r="368">
      <x:c r="A368" s="9"/>
      <x:c r="B368" s="7"/>
      <x:c r="C368" s="7" t="str">
        <x:f>IF(B368="","",XLOOKUP(B368,Employees!$A$4:$A$53,Employees!$B$4:$B$53,""))</x:f>
      </x:c>
      <x:c r="D368" s="7"/>
      <x:c r="E368" s="10" t="n">
        <x:v>8</x:v>
      </x:c>
      <x:c r="F368" s="10"/>
      <x:c r="G368" s="10" t="str">
        <x:f>IF(F368="","",MIN(F368,E368))</x:f>
      </x:c>
      <x:c r="H368" s="10" t="str">
        <x:f>IF(F368="","",MAX(0,F368-E368))</x:f>
      </x:c>
      <x:c r="I368" s="24"/>
      <x:c r="J368" s="7"/>
      <x:c r="K368" s="8" t="str">
        <x:f>IF(A368="","",DATE(YEAR(A368),MONTH(A368),1))</x:f>
      </x:c>
    </x:row>
    <x:row r="369">
      <x:c r="A369" s="9"/>
      <x:c r="B369" s="7"/>
      <x:c r="C369" s="7" t="str">
        <x:f>IF(B369="","",XLOOKUP(B369,Employees!$A$4:$A$53,Employees!$B$4:$B$53,""))</x:f>
      </x:c>
      <x:c r="D369" s="7"/>
      <x:c r="E369" s="10" t="n">
        <x:v>8</x:v>
      </x:c>
      <x:c r="F369" s="10"/>
      <x:c r="G369" s="10" t="str">
        <x:f>IF(F369="","",MIN(F369,E369))</x:f>
      </x:c>
      <x:c r="H369" s="10" t="str">
        <x:f>IF(F369="","",MAX(0,F369-E369))</x:f>
      </x:c>
      <x:c r="I369" s="24"/>
      <x:c r="J369" s="7"/>
      <x:c r="K369" s="8" t="str">
        <x:f>IF(A369="","",DATE(YEAR(A369),MONTH(A369),1))</x:f>
      </x:c>
    </x:row>
    <x:row r="370">
      <x:c r="A370" s="9"/>
      <x:c r="B370" s="7"/>
      <x:c r="C370" s="7" t="str">
        <x:f>IF(B370="","",XLOOKUP(B370,Employees!$A$4:$A$53,Employees!$B$4:$B$53,""))</x:f>
      </x:c>
      <x:c r="D370" s="7"/>
      <x:c r="E370" s="10" t="n">
        <x:v>8</x:v>
      </x:c>
      <x:c r="F370" s="10"/>
      <x:c r="G370" s="10" t="str">
        <x:f>IF(F370="","",MIN(F370,E370))</x:f>
      </x:c>
      <x:c r="H370" s="10" t="str">
        <x:f>IF(F370="","",MAX(0,F370-E370))</x:f>
      </x:c>
      <x:c r="I370" s="24"/>
      <x:c r="J370" s="7"/>
      <x:c r="K370" s="8" t="str">
        <x:f>IF(A370="","",DATE(YEAR(A370),MONTH(A370),1))</x:f>
      </x:c>
    </x:row>
    <x:row r="371">
      <x:c r="A371" s="9"/>
      <x:c r="B371" s="7"/>
      <x:c r="C371" s="7" t="str">
        <x:f>IF(B371="","",XLOOKUP(B371,Employees!$A$4:$A$53,Employees!$B$4:$B$53,""))</x:f>
      </x:c>
      <x:c r="D371" s="7"/>
      <x:c r="E371" s="10" t="n">
        <x:v>8</x:v>
      </x:c>
      <x:c r="F371" s="10"/>
      <x:c r="G371" s="10" t="str">
        <x:f>IF(F371="","",MIN(F371,E371))</x:f>
      </x:c>
      <x:c r="H371" s="10" t="str">
        <x:f>IF(F371="","",MAX(0,F371-E371))</x:f>
      </x:c>
      <x:c r="I371" s="24"/>
      <x:c r="J371" s="7"/>
      <x:c r="K371" s="8" t="str">
        <x:f>IF(A371="","",DATE(YEAR(A371),MONTH(A371),1))</x:f>
      </x:c>
    </x:row>
    <x:row r="372">
      <x:c r="A372" s="9"/>
      <x:c r="B372" s="7"/>
      <x:c r="C372" s="7" t="str">
        <x:f>IF(B372="","",XLOOKUP(B372,Employees!$A$4:$A$53,Employees!$B$4:$B$53,""))</x:f>
      </x:c>
      <x:c r="D372" s="7"/>
      <x:c r="E372" s="10" t="n">
        <x:v>8</x:v>
      </x:c>
      <x:c r="F372" s="10"/>
      <x:c r="G372" s="10" t="str">
        <x:f>IF(F372="","",MIN(F372,E372))</x:f>
      </x:c>
      <x:c r="H372" s="10" t="str">
        <x:f>IF(F372="","",MAX(0,F372-E372))</x:f>
      </x:c>
      <x:c r="I372" s="24"/>
      <x:c r="J372" s="7"/>
      <x:c r="K372" s="8" t="str">
        <x:f>IF(A372="","",DATE(YEAR(A372),MONTH(A372),1))</x:f>
      </x:c>
    </x:row>
    <x:row r="373">
      <x:c r="A373" s="9"/>
      <x:c r="B373" s="7"/>
      <x:c r="C373" s="7" t="str">
        <x:f>IF(B373="","",XLOOKUP(B373,Employees!$A$4:$A$53,Employees!$B$4:$B$53,""))</x:f>
      </x:c>
      <x:c r="D373" s="7"/>
      <x:c r="E373" s="10" t="n">
        <x:v>8</x:v>
      </x:c>
      <x:c r="F373" s="10"/>
      <x:c r="G373" s="10" t="str">
        <x:f>IF(F373="","",MIN(F373,E373))</x:f>
      </x:c>
      <x:c r="H373" s="10" t="str">
        <x:f>IF(F373="","",MAX(0,F373-E373))</x:f>
      </x:c>
      <x:c r="I373" s="24"/>
      <x:c r="J373" s="7"/>
      <x:c r="K373" s="8" t="str">
        <x:f>IF(A373="","",DATE(YEAR(A373),MONTH(A373),1))</x:f>
      </x:c>
    </x:row>
    <x:row r="374">
      <x:c r="A374" s="9"/>
      <x:c r="B374" s="7"/>
      <x:c r="C374" s="7" t="str">
        <x:f>IF(B374="","",XLOOKUP(B374,Employees!$A$4:$A$53,Employees!$B$4:$B$53,""))</x:f>
      </x:c>
      <x:c r="D374" s="7"/>
      <x:c r="E374" s="10" t="n">
        <x:v>8</x:v>
      </x:c>
      <x:c r="F374" s="10"/>
      <x:c r="G374" s="10" t="str">
        <x:f>IF(F374="","",MIN(F374,E374))</x:f>
      </x:c>
      <x:c r="H374" s="10" t="str">
        <x:f>IF(F374="","",MAX(0,F374-E374))</x:f>
      </x:c>
      <x:c r="I374" s="24"/>
      <x:c r="J374" s="7"/>
      <x:c r="K374" s="8" t="str">
        <x:f>IF(A374="","",DATE(YEAR(A374),MONTH(A374),1))</x:f>
      </x:c>
    </x:row>
    <x:row r="375">
      <x:c r="A375" s="9"/>
      <x:c r="B375" s="7"/>
      <x:c r="C375" s="7" t="str">
        <x:f>IF(B375="","",XLOOKUP(B375,Employees!$A$4:$A$53,Employees!$B$4:$B$53,""))</x:f>
      </x:c>
      <x:c r="D375" s="7"/>
      <x:c r="E375" s="10" t="n">
        <x:v>8</x:v>
      </x:c>
      <x:c r="F375" s="10"/>
      <x:c r="G375" s="10" t="str">
        <x:f>IF(F375="","",MIN(F375,E375))</x:f>
      </x:c>
      <x:c r="H375" s="10" t="str">
        <x:f>IF(F375="","",MAX(0,F375-E375))</x:f>
      </x:c>
      <x:c r="I375" s="24"/>
      <x:c r="J375" s="7"/>
      <x:c r="K375" s="8" t="str">
        <x:f>IF(A375="","",DATE(YEAR(A375),MONTH(A375),1))</x:f>
      </x:c>
    </x:row>
    <x:row r="376">
      <x:c r="A376" s="9"/>
      <x:c r="B376" s="7"/>
      <x:c r="C376" s="7" t="str">
        <x:f>IF(B376="","",XLOOKUP(B376,Employees!$A$4:$A$53,Employees!$B$4:$B$53,""))</x:f>
      </x:c>
      <x:c r="D376" s="7"/>
      <x:c r="E376" s="10" t="n">
        <x:v>8</x:v>
      </x:c>
      <x:c r="F376" s="10"/>
      <x:c r="G376" s="10" t="str">
        <x:f>IF(F376="","",MIN(F376,E376))</x:f>
      </x:c>
      <x:c r="H376" s="10" t="str">
        <x:f>IF(F376="","",MAX(0,F376-E376))</x:f>
      </x:c>
      <x:c r="I376" s="24"/>
      <x:c r="J376" s="7"/>
      <x:c r="K376" s="8" t="str">
        <x:f>IF(A376="","",DATE(YEAR(A376),MONTH(A376),1))</x:f>
      </x:c>
    </x:row>
    <x:row r="377">
      <x:c r="A377" s="9"/>
      <x:c r="B377" s="7"/>
      <x:c r="C377" s="7" t="str">
        <x:f>IF(B377="","",XLOOKUP(B377,Employees!$A$4:$A$53,Employees!$B$4:$B$53,""))</x:f>
      </x:c>
      <x:c r="D377" s="7"/>
      <x:c r="E377" s="10" t="n">
        <x:v>8</x:v>
      </x:c>
      <x:c r="F377" s="10"/>
      <x:c r="G377" s="10" t="str">
        <x:f>IF(F377="","",MIN(F377,E377))</x:f>
      </x:c>
      <x:c r="H377" s="10" t="str">
        <x:f>IF(F377="","",MAX(0,F377-E377))</x:f>
      </x:c>
      <x:c r="I377" s="24"/>
      <x:c r="J377" s="7"/>
      <x:c r="K377" s="8" t="str">
        <x:f>IF(A377="","",DATE(YEAR(A377),MONTH(A377),1))</x:f>
      </x:c>
    </x:row>
    <x:row r="378">
      <x:c r="A378" s="9"/>
      <x:c r="B378" s="7"/>
      <x:c r="C378" s="7" t="str">
        <x:f>IF(B378="","",XLOOKUP(B378,Employees!$A$4:$A$53,Employees!$B$4:$B$53,""))</x:f>
      </x:c>
      <x:c r="D378" s="7"/>
      <x:c r="E378" s="10" t="n">
        <x:v>8</x:v>
      </x:c>
      <x:c r="F378" s="10"/>
      <x:c r="G378" s="10" t="str">
        <x:f>IF(F378="","",MIN(F378,E378))</x:f>
      </x:c>
      <x:c r="H378" s="10" t="str">
        <x:f>IF(F378="","",MAX(0,F378-E378))</x:f>
      </x:c>
      <x:c r="I378" s="24"/>
      <x:c r="J378" s="7"/>
      <x:c r="K378" s="8" t="str">
        <x:f>IF(A378="","",DATE(YEAR(A378),MONTH(A378),1))</x:f>
      </x:c>
    </x:row>
    <x:row r="379">
      <x:c r="A379" s="9"/>
      <x:c r="B379" s="7"/>
      <x:c r="C379" s="7" t="str">
        <x:f>IF(B379="","",XLOOKUP(B379,Employees!$A$4:$A$53,Employees!$B$4:$B$53,""))</x:f>
      </x:c>
      <x:c r="D379" s="7"/>
      <x:c r="E379" s="10" t="n">
        <x:v>8</x:v>
      </x:c>
      <x:c r="F379" s="10"/>
      <x:c r="G379" s="10" t="str">
        <x:f>IF(F379="","",MIN(F379,E379))</x:f>
      </x:c>
      <x:c r="H379" s="10" t="str">
        <x:f>IF(F379="","",MAX(0,F379-E379))</x:f>
      </x:c>
      <x:c r="I379" s="24"/>
      <x:c r="J379" s="7"/>
      <x:c r="K379" s="8" t="str">
        <x:f>IF(A379="","",DATE(YEAR(A379),MONTH(A379),1))</x:f>
      </x:c>
    </x:row>
    <x:row r="380">
      <x:c r="A380" s="9"/>
      <x:c r="B380" s="7"/>
      <x:c r="C380" s="7" t="str">
        <x:f>IF(B380="","",XLOOKUP(B380,Employees!$A$4:$A$53,Employees!$B$4:$B$53,""))</x:f>
      </x:c>
      <x:c r="D380" s="7"/>
      <x:c r="E380" s="10" t="n">
        <x:v>8</x:v>
      </x:c>
      <x:c r="F380" s="10"/>
      <x:c r="G380" s="10" t="str">
        <x:f>IF(F380="","",MIN(F380,E380))</x:f>
      </x:c>
      <x:c r="H380" s="10" t="str">
        <x:f>IF(F380="","",MAX(0,F380-E380))</x:f>
      </x:c>
      <x:c r="I380" s="24"/>
      <x:c r="J380" s="7"/>
      <x:c r="K380" s="8" t="str">
        <x:f>IF(A380="","",DATE(YEAR(A380),MONTH(A380),1))</x:f>
      </x:c>
    </x:row>
    <x:row r="381">
      <x:c r="A381" s="9"/>
      <x:c r="B381" s="7"/>
      <x:c r="C381" s="7" t="str">
        <x:f>IF(B381="","",XLOOKUP(B381,Employees!$A$4:$A$53,Employees!$B$4:$B$53,""))</x:f>
      </x:c>
      <x:c r="D381" s="7"/>
      <x:c r="E381" s="10" t="n">
        <x:v>8</x:v>
      </x:c>
      <x:c r="F381" s="10"/>
      <x:c r="G381" s="10" t="str">
        <x:f>IF(F381="","",MIN(F381,E381))</x:f>
      </x:c>
      <x:c r="H381" s="10" t="str">
        <x:f>IF(F381="","",MAX(0,F381-E381))</x:f>
      </x:c>
      <x:c r="I381" s="24"/>
      <x:c r="J381" s="7"/>
      <x:c r="K381" s="8" t="str">
        <x:f>IF(A381="","",DATE(YEAR(A381),MONTH(A381),1))</x:f>
      </x:c>
    </x:row>
    <x:row r="382">
      <x:c r="A382" s="9"/>
      <x:c r="B382" s="7"/>
      <x:c r="C382" s="7" t="str">
        <x:f>IF(B382="","",XLOOKUP(B382,Employees!$A$4:$A$53,Employees!$B$4:$B$53,""))</x:f>
      </x:c>
      <x:c r="D382" s="7"/>
      <x:c r="E382" s="10" t="n">
        <x:v>8</x:v>
      </x:c>
      <x:c r="F382" s="10"/>
      <x:c r="G382" s="10" t="str">
        <x:f>IF(F382="","",MIN(F382,E382))</x:f>
      </x:c>
      <x:c r="H382" s="10" t="str">
        <x:f>IF(F382="","",MAX(0,F382-E382))</x:f>
      </x:c>
      <x:c r="I382" s="24"/>
      <x:c r="J382" s="7"/>
      <x:c r="K382" s="8" t="str">
        <x:f>IF(A382="","",DATE(YEAR(A382),MONTH(A382),1))</x:f>
      </x:c>
    </x:row>
    <x:row r="383">
      <x:c r="A383" s="9"/>
      <x:c r="B383" s="7"/>
      <x:c r="C383" s="7" t="str">
        <x:f>IF(B383="","",XLOOKUP(B383,Employees!$A$4:$A$53,Employees!$B$4:$B$53,""))</x:f>
      </x:c>
      <x:c r="D383" s="7"/>
      <x:c r="E383" s="10" t="n">
        <x:v>8</x:v>
      </x:c>
      <x:c r="F383" s="10"/>
      <x:c r="G383" s="10" t="str">
        <x:f>IF(F383="","",MIN(F383,E383))</x:f>
      </x:c>
      <x:c r="H383" s="10" t="str">
        <x:f>IF(F383="","",MAX(0,F383-E383))</x:f>
      </x:c>
      <x:c r="I383" s="24"/>
      <x:c r="J383" s="7"/>
      <x:c r="K383" s="8" t="str">
        <x:f>IF(A383="","",DATE(YEAR(A383),MONTH(A383),1))</x:f>
      </x:c>
    </x:row>
    <x:row r="384">
      <x:c r="A384" s="9"/>
      <x:c r="B384" s="7"/>
      <x:c r="C384" s="7" t="str">
        <x:f>IF(B384="","",XLOOKUP(B384,Employees!$A$4:$A$53,Employees!$B$4:$B$53,""))</x:f>
      </x:c>
      <x:c r="D384" s="7"/>
      <x:c r="E384" s="10" t="n">
        <x:v>8</x:v>
      </x:c>
      <x:c r="F384" s="10"/>
      <x:c r="G384" s="10" t="str">
        <x:f>IF(F384="","",MIN(F384,E384))</x:f>
      </x:c>
      <x:c r="H384" s="10" t="str">
        <x:f>IF(F384="","",MAX(0,F384-E384))</x:f>
      </x:c>
      <x:c r="I384" s="24"/>
      <x:c r="J384" s="7"/>
      <x:c r="K384" s="8" t="str">
        <x:f>IF(A384="","",DATE(YEAR(A384),MONTH(A384),1))</x:f>
      </x:c>
    </x:row>
    <x:row r="385">
      <x:c r="A385" s="9"/>
      <x:c r="B385" s="7"/>
      <x:c r="C385" s="7" t="str">
        <x:f>IF(B385="","",XLOOKUP(B385,Employees!$A$4:$A$53,Employees!$B$4:$B$53,""))</x:f>
      </x:c>
      <x:c r="D385" s="7"/>
      <x:c r="E385" s="10" t="n">
        <x:v>8</x:v>
      </x:c>
      <x:c r="F385" s="10"/>
      <x:c r="G385" s="10" t="str">
        <x:f>IF(F385="","",MIN(F385,E385))</x:f>
      </x:c>
      <x:c r="H385" s="10" t="str">
        <x:f>IF(F385="","",MAX(0,F385-E385))</x:f>
      </x:c>
      <x:c r="I385" s="24"/>
      <x:c r="J385" s="7"/>
      <x:c r="K385" s="8" t="str">
        <x:f>IF(A385="","",DATE(YEAR(A385),MONTH(A385),1))</x:f>
      </x:c>
    </x:row>
    <x:row r="386">
      <x:c r="A386" s="9"/>
      <x:c r="B386" s="7"/>
      <x:c r="C386" s="7" t="str">
        <x:f>IF(B386="","",XLOOKUP(B386,Employees!$A$4:$A$53,Employees!$B$4:$B$53,""))</x:f>
      </x:c>
      <x:c r="D386" s="7"/>
      <x:c r="E386" s="10" t="n">
        <x:v>8</x:v>
      </x:c>
      <x:c r="F386" s="10"/>
      <x:c r="G386" s="10" t="str">
        <x:f>IF(F386="","",MIN(F386,E386))</x:f>
      </x:c>
      <x:c r="H386" s="10" t="str">
        <x:f>IF(F386="","",MAX(0,F386-E386))</x:f>
      </x:c>
      <x:c r="I386" s="24"/>
      <x:c r="J386" s="7"/>
      <x:c r="K386" s="8" t="str">
        <x:f>IF(A386="","",DATE(YEAR(A386),MONTH(A386),1))</x:f>
      </x:c>
    </x:row>
    <x:row r="387">
      <x:c r="A387" s="9"/>
      <x:c r="B387" s="7"/>
      <x:c r="C387" s="7" t="str">
        <x:f>IF(B387="","",XLOOKUP(B387,Employees!$A$4:$A$53,Employees!$B$4:$B$53,""))</x:f>
      </x:c>
      <x:c r="D387" s="7"/>
      <x:c r="E387" s="10" t="n">
        <x:v>8</x:v>
      </x:c>
      <x:c r="F387" s="10"/>
      <x:c r="G387" s="10" t="str">
        <x:f>IF(F387="","",MIN(F387,E387))</x:f>
      </x:c>
      <x:c r="H387" s="10" t="str">
        <x:f>IF(F387="","",MAX(0,F387-E387))</x:f>
      </x:c>
      <x:c r="I387" s="24"/>
      <x:c r="J387" s="7"/>
      <x:c r="K387" s="8" t="str">
        <x:f>IF(A387="","",DATE(YEAR(A387),MONTH(A387),1))</x:f>
      </x:c>
    </x:row>
    <x:row r="388">
      <x:c r="A388" s="9"/>
      <x:c r="B388" s="7"/>
      <x:c r="C388" s="7" t="str">
        <x:f>IF(B388="","",XLOOKUP(B388,Employees!$A$4:$A$53,Employees!$B$4:$B$53,""))</x:f>
      </x:c>
      <x:c r="D388" s="7"/>
      <x:c r="E388" s="10" t="n">
        <x:v>8</x:v>
      </x:c>
      <x:c r="F388" s="10"/>
      <x:c r="G388" s="10" t="str">
        <x:f>IF(F388="","",MIN(F388,E388))</x:f>
      </x:c>
      <x:c r="H388" s="10" t="str">
        <x:f>IF(F388="","",MAX(0,F388-E388))</x:f>
      </x:c>
      <x:c r="I388" s="24"/>
      <x:c r="J388" s="7"/>
      <x:c r="K388" s="8" t="str">
        <x:f>IF(A388="","",DATE(YEAR(A388),MONTH(A388),1))</x:f>
      </x:c>
    </x:row>
    <x:row r="389">
      <x:c r="A389" s="9"/>
      <x:c r="B389" s="7"/>
      <x:c r="C389" s="7" t="str">
        <x:f>IF(B389="","",XLOOKUP(B389,Employees!$A$4:$A$53,Employees!$B$4:$B$53,""))</x:f>
      </x:c>
      <x:c r="D389" s="7"/>
      <x:c r="E389" s="10" t="n">
        <x:v>8</x:v>
      </x:c>
      <x:c r="F389" s="10"/>
      <x:c r="G389" s="10" t="str">
        <x:f>IF(F389="","",MIN(F389,E389))</x:f>
      </x:c>
      <x:c r="H389" s="10" t="str">
        <x:f>IF(F389="","",MAX(0,F389-E389))</x:f>
      </x:c>
      <x:c r="I389" s="24"/>
      <x:c r="J389" s="7"/>
      <x:c r="K389" s="8" t="str">
        <x:f>IF(A389="","",DATE(YEAR(A389),MONTH(A389),1))</x:f>
      </x:c>
    </x:row>
    <x:row r="390">
      <x:c r="A390" s="9"/>
      <x:c r="B390" s="7"/>
      <x:c r="C390" s="7" t="str">
        <x:f>IF(B390="","",XLOOKUP(B390,Employees!$A$4:$A$53,Employees!$B$4:$B$53,""))</x:f>
      </x:c>
      <x:c r="D390" s="7"/>
      <x:c r="E390" s="10" t="n">
        <x:v>8</x:v>
      </x:c>
      <x:c r="F390" s="10"/>
      <x:c r="G390" s="10" t="str">
        <x:f>IF(F390="","",MIN(F390,E390))</x:f>
      </x:c>
      <x:c r="H390" s="10" t="str">
        <x:f>IF(F390="","",MAX(0,F390-E390))</x:f>
      </x:c>
      <x:c r="I390" s="24"/>
      <x:c r="J390" s="7"/>
      <x:c r="K390" s="8" t="str">
        <x:f>IF(A390="","",DATE(YEAR(A390),MONTH(A390),1))</x:f>
      </x:c>
    </x:row>
    <x:row r="391">
      <x:c r="A391" s="9"/>
      <x:c r="B391" s="7"/>
      <x:c r="C391" s="7" t="str">
        <x:f>IF(B391="","",XLOOKUP(B391,Employees!$A$4:$A$53,Employees!$B$4:$B$53,""))</x:f>
      </x:c>
      <x:c r="D391" s="7"/>
      <x:c r="E391" s="10" t="n">
        <x:v>8</x:v>
      </x:c>
      <x:c r="F391" s="10"/>
      <x:c r="G391" s="10" t="str">
        <x:f>IF(F391="","",MIN(F391,E391))</x:f>
      </x:c>
      <x:c r="H391" s="10" t="str">
        <x:f>IF(F391="","",MAX(0,F391-E391))</x:f>
      </x:c>
      <x:c r="I391" s="24"/>
      <x:c r="J391" s="7"/>
      <x:c r="K391" s="8" t="str">
        <x:f>IF(A391="","",DATE(YEAR(A391),MONTH(A391),1))</x:f>
      </x:c>
    </x:row>
    <x:row r="392">
      <x:c r="A392" s="9"/>
      <x:c r="B392" s="7"/>
      <x:c r="C392" s="7" t="str">
        <x:f>IF(B392="","",XLOOKUP(B392,Employees!$A$4:$A$53,Employees!$B$4:$B$53,""))</x:f>
      </x:c>
      <x:c r="D392" s="7"/>
      <x:c r="E392" s="10" t="n">
        <x:v>8</x:v>
      </x:c>
      <x:c r="F392" s="10"/>
      <x:c r="G392" s="10" t="str">
        <x:f>IF(F392="","",MIN(F392,E392))</x:f>
      </x:c>
      <x:c r="H392" s="10" t="str">
        <x:f>IF(F392="","",MAX(0,F392-E392))</x:f>
      </x:c>
      <x:c r="I392" s="24"/>
      <x:c r="J392" s="7"/>
      <x:c r="K392" s="8" t="str">
        <x:f>IF(A392="","",DATE(YEAR(A392),MONTH(A392),1))</x:f>
      </x:c>
    </x:row>
    <x:row r="393">
      <x:c r="A393" s="9"/>
      <x:c r="B393" s="7"/>
      <x:c r="C393" s="7" t="str">
        <x:f>IF(B393="","",XLOOKUP(B393,Employees!$A$4:$A$53,Employees!$B$4:$B$53,""))</x:f>
      </x:c>
      <x:c r="D393" s="7"/>
      <x:c r="E393" s="10" t="n">
        <x:v>8</x:v>
      </x:c>
      <x:c r="F393" s="10"/>
      <x:c r="G393" s="10" t="str">
        <x:f>IF(F393="","",MIN(F393,E393))</x:f>
      </x:c>
      <x:c r="H393" s="10" t="str">
        <x:f>IF(F393="","",MAX(0,F393-E393))</x:f>
      </x:c>
      <x:c r="I393" s="24"/>
      <x:c r="J393" s="7"/>
      <x:c r="K393" s="8" t="str">
        <x:f>IF(A393="","",DATE(YEAR(A393),MONTH(A393),1))</x:f>
      </x:c>
    </x:row>
    <x:row r="394">
      <x:c r="A394" s="9"/>
      <x:c r="B394" s="7"/>
      <x:c r="C394" s="7" t="str">
        <x:f>IF(B394="","",XLOOKUP(B394,Employees!$A$4:$A$53,Employees!$B$4:$B$53,""))</x:f>
      </x:c>
      <x:c r="D394" s="7"/>
      <x:c r="E394" s="10" t="n">
        <x:v>8</x:v>
      </x:c>
      <x:c r="F394" s="10"/>
      <x:c r="G394" s="10" t="str">
        <x:f>IF(F394="","",MIN(F394,E394))</x:f>
      </x:c>
      <x:c r="H394" s="10" t="str">
        <x:f>IF(F394="","",MAX(0,F394-E394))</x:f>
      </x:c>
      <x:c r="I394" s="24"/>
      <x:c r="J394" s="7"/>
      <x:c r="K394" s="8" t="str">
        <x:f>IF(A394="","",DATE(YEAR(A394),MONTH(A394),1))</x:f>
      </x:c>
    </x:row>
    <x:row r="395">
      <x:c r="A395" s="9"/>
      <x:c r="B395" s="7"/>
      <x:c r="C395" s="7" t="str">
        <x:f>IF(B395="","",XLOOKUP(B395,Employees!$A$4:$A$53,Employees!$B$4:$B$53,""))</x:f>
      </x:c>
      <x:c r="D395" s="7"/>
      <x:c r="E395" s="10" t="n">
        <x:v>8</x:v>
      </x:c>
      <x:c r="F395" s="10"/>
      <x:c r="G395" s="10" t="str">
        <x:f>IF(F395="","",MIN(F395,E395))</x:f>
      </x:c>
      <x:c r="H395" s="10" t="str">
        <x:f>IF(F395="","",MAX(0,F395-E395))</x:f>
      </x:c>
      <x:c r="I395" s="24"/>
      <x:c r="J395" s="7"/>
      <x:c r="K395" s="8" t="str">
        <x:f>IF(A395="","",DATE(YEAR(A395),MONTH(A395),1))</x:f>
      </x:c>
    </x:row>
    <x:row r="396">
      <x:c r="A396" s="9"/>
      <x:c r="B396" s="7"/>
      <x:c r="C396" s="7" t="str">
        <x:f>IF(B396="","",XLOOKUP(B396,Employees!$A$4:$A$53,Employees!$B$4:$B$53,""))</x:f>
      </x:c>
      <x:c r="D396" s="7"/>
      <x:c r="E396" s="10" t="n">
        <x:v>8</x:v>
      </x:c>
      <x:c r="F396" s="10"/>
      <x:c r="G396" s="10" t="str">
        <x:f>IF(F396="","",MIN(F396,E396))</x:f>
      </x:c>
      <x:c r="H396" s="10" t="str">
        <x:f>IF(F396="","",MAX(0,F396-E396))</x:f>
      </x:c>
      <x:c r="I396" s="24"/>
      <x:c r="J396" s="7"/>
      <x:c r="K396" s="8" t="str">
        <x:f>IF(A396="","",DATE(YEAR(A396),MONTH(A396),1))</x:f>
      </x:c>
    </x:row>
    <x:row r="397">
      <x:c r="A397" s="9"/>
      <x:c r="B397" s="7"/>
      <x:c r="C397" s="7" t="str">
        <x:f>IF(B397="","",XLOOKUP(B397,Employees!$A$4:$A$53,Employees!$B$4:$B$53,""))</x:f>
      </x:c>
      <x:c r="D397" s="7"/>
      <x:c r="E397" s="10" t="n">
        <x:v>8</x:v>
      </x:c>
      <x:c r="F397" s="10"/>
      <x:c r="G397" s="10" t="str">
        <x:f>IF(F397="","",MIN(F397,E397))</x:f>
      </x:c>
      <x:c r="H397" s="10" t="str">
        <x:f>IF(F397="","",MAX(0,F397-E397))</x:f>
      </x:c>
      <x:c r="I397" s="24"/>
      <x:c r="J397" s="7"/>
      <x:c r="K397" s="8" t="str">
        <x:f>IF(A397="","",DATE(YEAR(A397),MONTH(A397),1))</x:f>
      </x:c>
    </x:row>
    <x:row r="398">
      <x:c r="A398" s="9"/>
      <x:c r="B398" s="7"/>
      <x:c r="C398" s="7" t="str">
        <x:f>IF(B398="","",XLOOKUP(B398,Employees!$A$4:$A$53,Employees!$B$4:$B$53,""))</x:f>
      </x:c>
      <x:c r="D398" s="7"/>
      <x:c r="E398" s="10" t="n">
        <x:v>8</x:v>
      </x:c>
      <x:c r="F398" s="10"/>
      <x:c r="G398" s="10" t="str">
        <x:f>IF(F398="","",MIN(F398,E398))</x:f>
      </x:c>
      <x:c r="H398" s="10" t="str">
        <x:f>IF(F398="","",MAX(0,F398-E398))</x:f>
      </x:c>
      <x:c r="I398" s="24"/>
      <x:c r="J398" s="7"/>
      <x:c r="K398" s="8" t="str">
        <x:f>IF(A398="","",DATE(YEAR(A398),MONTH(A398),1))</x:f>
      </x:c>
    </x:row>
    <x:row r="399">
      <x:c r="A399" s="9"/>
      <x:c r="B399" s="7"/>
      <x:c r="C399" s="7" t="str">
        <x:f>IF(B399="","",XLOOKUP(B399,Employees!$A$4:$A$53,Employees!$B$4:$B$53,""))</x:f>
      </x:c>
      <x:c r="D399" s="7"/>
      <x:c r="E399" s="10" t="n">
        <x:v>8</x:v>
      </x:c>
      <x:c r="F399" s="10"/>
      <x:c r="G399" s="10" t="str">
        <x:f>IF(F399="","",MIN(F399,E399))</x:f>
      </x:c>
      <x:c r="H399" s="10" t="str">
        <x:f>IF(F399="","",MAX(0,F399-E399))</x:f>
      </x:c>
      <x:c r="I399" s="24"/>
      <x:c r="J399" s="7"/>
      <x:c r="K399" s="8" t="str">
        <x:f>IF(A399="","",DATE(YEAR(A399),MONTH(A399),1))</x:f>
      </x:c>
    </x:row>
    <x:row r="400">
      <x:c r="A400" s="9"/>
      <x:c r="B400" s="7"/>
      <x:c r="C400" s="7" t="str">
        <x:f>IF(B400="","",XLOOKUP(B400,Employees!$A$4:$A$53,Employees!$B$4:$B$53,""))</x:f>
      </x:c>
      <x:c r="D400" s="7"/>
      <x:c r="E400" s="10" t="n">
        <x:v>8</x:v>
      </x:c>
      <x:c r="F400" s="10"/>
      <x:c r="G400" s="10" t="str">
        <x:f>IF(F400="","",MIN(F400,E400))</x:f>
      </x:c>
      <x:c r="H400" s="10" t="str">
        <x:f>IF(F400="","",MAX(0,F400-E400))</x:f>
      </x:c>
      <x:c r="I400" s="24"/>
      <x:c r="J400" s="7"/>
      <x:c r="K400" s="8" t="str">
        <x:f>IF(A400="","",DATE(YEAR(A400),MONTH(A400),1))</x:f>
      </x:c>
    </x:row>
    <x:row r="401">
      <x:c r="A401" s="9"/>
      <x:c r="B401" s="7"/>
      <x:c r="C401" s="7" t="str">
        <x:f>IF(B401="","",XLOOKUP(B401,Employees!$A$4:$A$53,Employees!$B$4:$B$53,""))</x:f>
      </x:c>
      <x:c r="D401" s="7"/>
      <x:c r="E401" s="10" t="n">
        <x:v>8</x:v>
      </x:c>
      <x:c r="F401" s="10"/>
      <x:c r="G401" s="10" t="str">
        <x:f>IF(F401="","",MIN(F401,E401))</x:f>
      </x:c>
      <x:c r="H401" s="10" t="str">
        <x:f>IF(F401="","",MAX(0,F401-E401))</x:f>
      </x:c>
      <x:c r="I401" s="24"/>
      <x:c r="J401" s="7"/>
      <x:c r="K401" s="8" t="str">
        <x:f>IF(A401="","",DATE(YEAR(A401),MONTH(A401),1))</x:f>
      </x:c>
    </x:row>
    <x:row r="402">
      <x:c r="A402" s="9"/>
      <x:c r="B402" s="7"/>
      <x:c r="C402" s="7" t="str">
        <x:f>IF(B402="","",XLOOKUP(B402,Employees!$A$4:$A$53,Employees!$B$4:$B$53,""))</x:f>
      </x:c>
      <x:c r="D402" s="7"/>
      <x:c r="E402" s="10" t="n">
        <x:v>8</x:v>
      </x:c>
      <x:c r="F402" s="10"/>
      <x:c r="G402" s="10" t="str">
        <x:f>IF(F402="","",MIN(F402,E402))</x:f>
      </x:c>
      <x:c r="H402" s="10" t="str">
        <x:f>IF(F402="","",MAX(0,F402-E402))</x:f>
      </x:c>
      <x:c r="I402" s="24"/>
      <x:c r="J402" s="7"/>
      <x:c r="K402" s="8" t="str">
        <x:f>IF(A402="","",DATE(YEAR(A402),MONTH(A402),1))</x:f>
      </x:c>
    </x:row>
    <x:row r="403">
      <x:c r="A403" s="9"/>
      <x:c r="B403" s="7"/>
      <x:c r="C403" s="7" t="str">
        <x:f>IF(B403="","",XLOOKUP(B403,Employees!$A$4:$A$53,Employees!$B$4:$B$53,""))</x:f>
      </x:c>
      <x:c r="D403" s="7"/>
      <x:c r="E403" s="10" t="n">
        <x:v>8</x:v>
      </x:c>
      <x:c r="F403" s="10"/>
      <x:c r="G403" s="10" t="str">
        <x:f>IF(F403="","",MIN(F403,E403))</x:f>
      </x:c>
      <x:c r="H403" s="10" t="str">
        <x:f>IF(F403="","",MAX(0,F403-E403))</x:f>
      </x:c>
      <x:c r="I403" s="24"/>
      <x:c r="J403" s="7"/>
      <x:c r="K403" s="8" t="str">
        <x:f>IF(A403="","",DATE(YEAR(A403),MONTH(A403),1))</x:f>
      </x:c>
    </x:row>
    <x:row r="404">
      <x:c r="A404" s="9"/>
      <x:c r="B404" s="7"/>
      <x:c r="C404" s="7" t="str">
        <x:f>IF(B404="","",XLOOKUP(B404,Employees!$A$4:$A$53,Employees!$B$4:$B$53,""))</x:f>
      </x:c>
      <x:c r="D404" s="7"/>
      <x:c r="E404" s="10" t="n">
        <x:v>8</x:v>
      </x:c>
      <x:c r="F404" s="10"/>
      <x:c r="G404" s="10" t="str">
        <x:f>IF(F404="","",MIN(F404,E404))</x:f>
      </x:c>
      <x:c r="H404" s="10" t="str">
        <x:f>IF(F404="","",MAX(0,F404-E404))</x:f>
      </x:c>
      <x:c r="I404" s="24"/>
      <x:c r="J404" s="7"/>
      <x:c r="K404" s="8" t="str">
        <x:f>IF(A404="","",DATE(YEAR(A404),MONTH(A404),1))</x:f>
      </x:c>
    </x:row>
    <x:row r="405">
      <x:c r="A405" s="9"/>
      <x:c r="B405" s="7"/>
      <x:c r="C405" s="7" t="str">
        <x:f>IF(B405="","",XLOOKUP(B405,Employees!$A$4:$A$53,Employees!$B$4:$B$53,""))</x:f>
      </x:c>
      <x:c r="D405" s="7"/>
      <x:c r="E405" s="10" t="n">
        <x:v>8</x:v>
      </x:c>
      <x:c r="F405" s="10"/>
      <x:c r="G405" s="10" t="str">
        <x:f>IF(F405="","",MIN(F405,E405))</x:f>
      </x:c>
      <x:c r="H405" s="10" t="str">
        <x:f>IF(F405="","",MAX(0,F405-E405))</x:f>
      </x:c>
      <x:c r="I405" s="24"/>
      <x:c r="J405" s="7"/>
      <x:c r="K405" s="8" t="str">
        <x:f>IF(A405="","",DATE(YEAR(A405),MONTH(A405),1))</x:f>
      </x:c>
    </x:row>
    <x:row r="406">
      <x:c r="A406" s="9"/>
      <x:c r="B406" s="7"/>
      <x:c r="C406" s="7" t="str">
        <x:f>IF(B406="","",XLOOKUP(B406,Employees!$A$4:$A$53,Employees!$B$4:$B$53,""))</x:f>
      </x:c>
      <x:c r="D406" s="7"/>
      <x:c r="E406" s="10" t="n">
        <x:v>8</x:v>
      </x:c>
      <x:c r="F406" s="10"/>
      <x:c r="G406" s="10" t="str">
        <x:f>IF(F406="","",MIN(F406,E406))</x:f>
      </x:c>
      <x:c r="H406" s="10" t="str">
        <x:f>IF(F406="","",MAX(0,F406-E406))</x:f>
      </x:c>
      <x:c r="I406" s="24"/>
      <x:c r="J406" s="7"/>
      <x:c r="K406" s="8" t="str">
        <x:f>IF(A406="","",DATE(YEAR(A406),MONTH(A406),1))</x:f>
      </x:c>
    </x:row>
    <x:row r="407">
      <x:c r="A407" s="9"/>
      <x:c r="B407" s="7"/>
      <x:c r="C407" s="7" t="str">
        <x:f>IF(B407="","",XLOOKUP(B407,Employees!$A$4:$A$53,Employees!$B$4:$B$53,""))</x:f>
      </x:c>
      <x:c r="D407" s="7"/>
      <x:c r="E407" s="10" t="n">
        <x:v>8</x:v>
      </x:c>
      <x:c r="F407" s="10"/>
      <x:c r="G407" s="10" t="str">
        <x:f>IF(F407="","",MIN(F407,E407))</x:f>
      </x:c>
      <x:c r="H407" s="10" t="str">
        <x:f>IF(F407="","",MAX(0,F407-E407))</x:f>
      </x:c>
      <x:c r="I407" s="24"/>
      <x:c r="J407" s="7"/>
      <x:c r="K407" s="8" t="str">
        <x:f>IF(A407="","",DATE(YEAR(A407),MONTH(A407),1))</x:f>
      </x:c>
    </x:row>
    <x:row r="408">
      <x:c r="A408" s="9"/>
      <x:c r="B408" s="7"/>
      <x:c r="C408" s="7" t="str">
        <x:f>IF(B408="","",XLOOKUP(B408,Employees!$A$4:$A$53,Employees!$B$4:$B$53,""))</x:f>
      </x:c>
      <x:c r="D408" s="7"/>
      <x:c r="E408" s="10" t="n">
        <x:v>8</x:v>
      </x:c>
      <x:c r="F408" s="10"/>
      <x:c r="G408" s="10" t="str">
        <x:f>IF(F408="","",MIN(F408,E408))</x:f>
      </x:c>
      <x:c r="H408" s="10" t="str">
        <x:f>IF(F408="","",MAX(0,F408-E408))</x:f>
      </x:c>
      <x:c r="I408" s="24"/>
      <x:c r="J408" s="7"/>
      <x:c r="K408" s="8" t="str">
        <x:f>IF(A408="","",DATE(YEAR(A408),MONTH(A408),1))</x:f>
      </x:c>
    </x:row>
    <x:row r="409">
      <x:c r="A409" s="9"/>
      <x:c r="B409" s="7"/>
      <x:c r="C409" s="7" t="str">
        <x:f>IF(B409="","",XLOOKUP(B409,Employees!$A$4:$A$53,Employees!$B$4:$B$53,""))</x:f>
      </x:c>
      <x:c r="D409" s="7"/>
      <x:c r="E409" s="10" t="n">
        <x:v>8</x:v>
      </x:c>
      <x:c r="F409" s="10"/>
      <x:c r="G409" s="10" t="str">
        <x:f>IF(F409="","",MIN(F409,E409))</x:f>
      </x:c>
      <x:c r="H409" s="10" t="str">
        <x:f>IF(F409="","",MAX(0,F409-E409))</x:f>
      </x:c>
      <x:c r="I409" s="24"/>
      <x:c r="J409" s="7"/>
      <x:c r="K409" s="8" t="str">
        <x:f>IF(A409="","",DATE(YEAR(A409),MONTH(A409),1))</x:f>
      </x:c>
    </x:row>
    <x:row r="410">
      <x:c r="A410" s="9"/>
      <x:c r="B410" s="7"/>
      <x:c r="C410" s="7" t="str">
        <x:f>IF(B410="","",XLOOKUP(B410,Employees!$A$4:$A$53,Employees!$B$4:$B$53,""))</x:f>
      </x:c>
      <x:c r="D410" s="7"/>
      <x:c r="E410" s="10" t="n">
        <x:v>8</x:v>
      </x:c>
      <x:c r="F410" s="10"/>
      <x:c r="G410" s="10" t="str">
        <x:f>IF(F410="","",MIN(F410,E410))</x:f>
      </x:c>
      <x:c r="H410" s="10" t="str">
        <x:f>IF(F410="","",MAX(0,F410-E410))</x:f>
      </x:c>
      <x:c r="I410" s="24"/>
      <x:c r="J410" s="7"/>
      <x:c r="K410" s="8" t="str">
        <x:f>IF(A410="","",DATE(YEAR(A410),MONTH(A410),1))</x:f>
      </x:c>
    </x:row>
    <x:row r="411">
      <x:c r="A411" s="9"/>
      <x:c r="B411" s="7"/>
      <x:c r="C411" s="7" t="str">
        <x:f>IF(B411="","",XLOOKUP(B411,Employees!$A$4:$A$53,Employees!$B$4:$B$53,""))</x:f>
      </x:c>
      <x:c r="D411" s="7"/>
      <x:c r="E411" s="10" t="n">
        <x:v>8</x:v>
      </x:c>
      <x:c r="F411" s="10"/>
      <x:c r="G411" s="10" t="str">
        <x:f>IF(F411="","",MIN(F411,E411))</x:f>
      </x:c>
      <x:c r="H411" s="10" t="str">
        <x:f>IF(F411="","",MAX(0,F411-E411))</x:f>
      </x:c>
      <x:c r="I411" s="24"/>
      <x:c r="J411" s="7"/>
      <x:c r="K411" s="8" t="str">
        <x:f>IF(A411="","",DATE(YEAR(A411),MONTH(A411),1))</x:f>
      </x:c>
    </x:row>
    <x:row r="412">
      <x:c r="A412" s="9"/>
      <x:c r="B412" s="7"/>
      <x:c r="C412" s="7" t="str">
        <x:f>IF(B412="","",XLOOKUP(B412,Employees!$A$4:$A$53,Employees!$B$4:$B$53,""))</x:f>
      </x:c>
      <x:c r="D412" s="7"/>
      <x:c r="E412" s="10" t="n">
        <x:v>8</x:v>
      </x:c>
      <x:c r="F412" s="10"/>
      <x:c r="G412" s="10" t="str">
        <x:f>IF(F412="","",MIN(F412,E412))</x:f>
      </x:c>
      <x:c r="H412" s="10" t="str">
        <x:f>IF(F412="","",MAX(0,F412-E412))</x:f>
      </x:c>
      <x:c r="I412" s="24"/>
      <x:c r="J412" s="7"/>
      <x:c r="K412" s="8" t="str">
        <x:f>IF(A412="","",DATE(YEAR(A412),MONTH(A412),1))</x:f>
      </x:c>
    </x:row>
    <x:row r="413">
      <x:c r="A413" s="9"/>
      <x:c r="B413" s="7"/>
      <x:c r="C413" s="7" t="str">
        <x:f>IF(B413="","",XLOOKUP(B413,Employees!$A$4:$A$53,Employees!$B$4:$B$53,""))</x:f>
      </x:c>
      <x:c r="D413" s="7"/>
      <x:c r="E413" s="10" t="n">
        <x:v>8</x:v>
      </x:c>
      <x:c r="F413" s="10"/>
      <x:c r="G413" s="10" t="str">
        <x:f>IF(F413="","",MIN(F413,E413))</x:f>
      </x:c>
      <x:c r="H413" s="10" t="str">
        <x:f>IF(F413="","",MAX(0,F413-E413))</x:f>
      </x:c>
      <x:c r="I413" s="24"/>
      <x:c r="J413" s="7"/>
      <x:c r="K413" s="8" t="str">
        <x:f>IF(A413="","",DATE(YEAR(A413),MONTH(A413),1))</x:f>
      </x:c>
    </x:row>
    <x:row r="414">
      <x:c r="A414" s="9"/>
      <x:c r="B414" s="7"/>
      <x:c r="C414" s="7" t="str">
        <x:f>IF(B414="","",XLOOKUP(B414,Employees!$A$4:$A$53,Employees!$B$4:$B$53,""))</x:f>
      </x:c>
      <x:c r="D414" s="7"/>
      <x:c r="E414" s="10" t="n">
        <x:v>8</x:v>
      </x:c>
      <x:c r="F414" s="10"/>
      <x:c r="G414" s="10" t="str">
        <x:f>IF(F414="","",MIN(F414,E414))</x:f>
      </x:c>
      <x:c r="H414" s="10" t="str">
        <x:f>IF(F414="","",MAX(0,F414-E414))</x:f>
      </x:c>
      <x:c r="I414" s="24"/>
      <x:c r="J414" s="7"/>
      <x:c r="K414" s="8" t="str">
        <x:f>IF(A414="","",DATE(YEAR(A414),MONTH(A414),1))</x:f>
      </x:c>
    </x:row>
    <x:row r="415">
      <x:c r="A415" s="9"/>
      <x:c r="B415" s="7"/>
      <x:c r="C415" s="7" t="str">
        <x:f>IF(B415="","",XLOOKUP(B415,Employees!$A$4:$A$53,Employees!$B$4:$B$53,""))</x:f>
      </x:c>
      <x:c r="D415" s="7"/>
      <x:c r="E415" s="10" t="n">
        <x:v>8</x:v>
      </x:c>
      <x:c r="F415" s="10"/>
      <x:c r="G415" s="10" t="str">
        <x:f>IF(F415="","",MIN(F415,E415))</x:f>
      </x:c>
      <x:c r="H415" s="10" t="str">
        <x:f>IF(F415="","",MAX(0,F415-E415))</x:f>
      </x:c>
      <x:c r="I415" s="24"/>
      <x:c r="J415" s="7"/>
      <x:c r="K415" s="8" t="str">
        <x:f>IF(A415="","",DATE(YEAR(A415),MONTH(A415),1))</x:f>
      </x:c>
    </x:row>
    <x:row r="416">
      <x:c r="A416" s="9"/>
      <x:c r="B416" s="7"/>
      <x:c r="C416" s="7" t="str">
        <x:f>IF(B416="","",XLOOKUP(B416,Employees!$A$4:$A$53,Employees!$B$4:$B$53,""))</x:f>
      </x:c>
      <x:c r="D416" s="7"/>
      <x:c r="E416" s="10" t="n">
        <x:v>8</x:v>
      </x:c>
      <x:c r="F416" s="10"/>
      <x:c r="G416" s="10" t="str">
        <x:f>IF(F416="","",MIN(F416,E416))</x:f>
      </x:c>
      <x:c r="H416" s="10" t="str">
        <x:f>IF(F416="","",MAX(0,F416-E416))</x:f>
      </x:c>
      <x:c r="I416" s="24"/>
      <x:c r="J416" s="7"/>
      <x:c r="K416" s="8" t="str">
        <x:f>IF(A416="","",DATE(YEAR(A416),MONTH(A416),1))</x:f>
      </x:c>
    </x:row>
    <x:row r="417">
      <x:c r="A417" s="9"/>
      <x:c r="B417" s="7"/>
      <x:c r="C417" s="7" t="str">
        <x:f>IF(B417="","",XLOOKUP(B417,Employees!$A$4:$A$53,Employees!$B$4:$B$53,""))</x:f>
      </x:c>
      <x:c r="D417" s="7"/>
      <x:c r="E417" s="10" t="n">
        <x:v>8</x:v>
      </x:c>
      <x:c r="F417" s="10"/>
      <x:c r="G417" s="10" t="str">
        <x:f>IF(F417="","",MIN(F417,E417))</x:f>
      </x:c>
      <x:c r="H417" s="10" t="str">
        <x:f>IF(F417="","",MAX(0,F417-E417))</x:f>
      </x:c>
      <x:c r="I417" s="24"/>
      <x:c r="J417" s="7"/>
      <x:c r="K417" s="8" t="str">
        <x:f>IF(A417="","",DATE(YEAR(A417),MONTH(A417),1))</x:f>
      </x:c>
    </x:row>
    <x:row r="418">
      <x:c r="A418" s="9"/>
      <x:c r="B418" s="7"/>
      <x:c r="C418" s="7" t="str">
        <x:f>IF(B418="","",XLOOKUP(B418,Employees!$A$4:$A$53,Employees!$B$4:$B$53,""))</x:f>
      </x:c>
      <x:c r="D418" s="7"/>
      <x:c r="E418" s="10" t="n">
        <x:v>8</x:v>
      </x:c>
      <x:c r="F418" s="10"/>
      <x:c r="G418" s="10" t="str">
        <x:f>IF(F418="","",MIN(F418,E418))</x:f>
      </x:c>
      <x:c r="H418" s="10" t="str">
        <x:f>IF(F418="","",MAX(0,F418-E418))</x:f>
      </x:c>
      <x:c r="I418" s="24"/>
      <x:c r="J418" s="7"/>
      <x:c r="K418" s="8" t="str">
        <x:f>IF(A418="","",DATE(YEAR(A418),MONTH(A418),1))</x:f>
      </x:c>
    </x:row>
    <x:row r="419">
      <x:c r="A419" s="9"/>
      <x:c r="B419" s="7"/>
      <x:c r="C419" s="7" t="str">
        <x:f>IF(B419="","",XLOOKUP(B419,Employees!$A$4:$A$53,Employees!$B$4:$B$53,""))</x:f>
      </x:c>
      <x:c r="D419" s="7"/>
      <x:c r="E419" s="10" t="n">
        <x:v>8</x:v>
      </x:c>
      <x:c r="F419" s="10"/>
      <x:c r="G419" s="10" t="str">
        <x:f>IF(F419="","",MIN(F419,E419))</x:f>
      </x:c>
      <x:c r="H419" s="10" t="str">
        <x:f>IF(F419="","",MAX(0,F419-E419))</x:f>
      </x:c>
      <x:c r="I419" s="24"/>
      <x:c r="J419" s="7"/>
      <x:c r="K419" s="8" t="str">
        <x:f>IF(A419="","",DATE(YEAR(A419),MONTH(A419),1))</x:f>
      </x:c>
    </x:row>
    <x:row r="420">
      <x:c r="A420" s="9"/>
      <x:c r="B420" s="7"/>
      <x:c r="C420" s="7" t="str">
        <x:f>IF(B420="","",XLOOKUP(B420,Employees!$A$4:$A$53,Employees!$B$4:$B$53,""))</x:f>
      </x:c>
      <x:c r="D420" s="7"/>
      <x:c r="E420" s="10" t="n">
        <x:v>8</x:v>
      </x:c>
      <x:c r="F420" s="10"/>
      <x:c r="G420" s="10" t="str">
        <x:f>IF(F420="","",MIN(F420,E420))</x:f>
      </x:c>
      <x:c r="H420" s="10" t="str">
        <x:f>IF(F420="","",MAX(0,F420-E420))</x:f>
      </x:c>
      <x:c r="I420" s="24"/>
      <x:c r="J420" s="7"/>
      <x:c r="K420" s="8" t="str">
        <x:f>IF(A420="","",DATE(YEAR(A420),MONTH(A420),1))</x:f>
      </x:c>
    </x:row>
    <x:row r="421">
      <x:c r="A421" s="9"/>
      <x:c r="B421" s="7"/>
      <x:c r="C421" s="7" t="str">
        <x:f>IF(B421="","",XLOOKUP(B421,Employees!$A$4:$A$53,Employees!$B$4:$B$53,""))</x:f>
      </x:c>
      <x:c r="D421" s="7"/>
      <x:c r="E421" s="10" t="n">
        <x:v>8</x:v>
      </x:c>
      <x:c r="F421" s="10"/>
      <x:c r="G421" s="10" t="str">
        <x:f>IF(F421="","",MIN(F421,E421))</x:f>
      </x:c>
      <x:c r="H421" s="10" t="str">
        <x:f>IF(F421="","",MAX(0,F421-E421))</x:f>
      </x:c>
      <x:c r="I421" s="24"/>
      <x:c r="J421" s="7"/>
      <x:c r="K421" s="8" t="str">
        <x:f>IF(A421="","",DATE(YEAR(A421),MONTH(A421),1))</x:f>
      </x:c>
    </x:row>
    <x:row r="422">
      <x:c r="A422" s="9"/>
      <x:c r="B422" s="7"/>
      <x:c r="C422" s="7" t="str">
        <x:f>IF(B422="","",XLOOKUP(B422,Employees!$A$4:$A$53,Employees!$B$4:$B$53,""))</x:f>
      </x:c>
      <x:c r="D422" s="7"/>
      <x:c r="E422" s="10" t="n">
        <x:v>8</x:v>
      </x:c>
      <x:c r="F422" s="10"/>
      <x:c r="G422" s="10" t="str">
        <x:f>IF(F422="","",MIN(F422,E422))</x:f>
      </x:c>
      <x:c r="H422" s="10" t="str">
        <x:f>IF(F422="","",MAX(0,F422-E422))</x:f>
      </x:c>
      <x:c r="I422" s="24"/>
      <x:c r="J422" s="7"/>
      <x:c r="K422" s="8" t="str">
        <x:f>IF(A422="","",DATE(YEAR(A422),MONTH(A422),1))</x:f>
      </x:c>
    </x:row>
    <x:row r="423">
      <x:c r="A423" s="9"/>
      <x:c r="B423" s="7"/>
      <x:c r="C423" s="7" t="str">
        <x:f>IF(B423="","",XLOOKUP(B423,Employees!$A$4:$A$53,Employees!$B$4:$B$53,""))</x:f>
      </x:c>
      <x:c r="D423" s="7"/>
      <x:c r="E423" s="10" t="n">
        <x:v>8</x:v>
      </x:c>
      <x:c r="F423" s="10"/>
      <x:c r="G423" s="10" t="str">
        <x:f>IF(F423="","",MIN(F423,E423))</x:f>
      </x:c>
      <x:c r="H423" s="10" t="str">
        <x:f>IF(F423="","",MAX(0,F423-E423))</x:f>
      </x:c>
      <x:c r="I423" s="24"/>
      <x:c r="J423" s="7"/>
      <x:c r="K423" s="8" t="str">
        <x:f>IF(A423="","",DATE(YEAR(A423),MONTH(A423),1))</x:f>
      </x:c>
    </x:row>
    <x:row r="424">
      <x:c r="A424" s="9"/>
      <x:c r="B424" s="7"/>
      <x:c r="C424" s="7" t="str">
        <x:f>IF(B424="","",XLOOKUP(B424,Employees!$A$4:$A$53,Employees!$B$4:$B$53,""))</x:f>
      </x:c>
      <x:c r="D424" s="7"/>
      <x:c r="E424" s="10" t="n">
        <x:v>8</x:v>
      </x:c>
      <x:c r="F424" s="10"/>
      <x:c r="G424" s="10" t="str">
        <x:f>IF(F424="","",MIN(F424,E424))</x:f>
      </x:c>
      <x:c r="H424" s="10" t="str">
        <x:f>IF(F424="","",MAX(0,F424-E424))</x:f>
      </x:c>
      <x:c r="I424" s="24"/>
      <x:c r="J424" s="7"/>
      <x:c r="K424" s="8" t="str">
        <x:f>IF(A424="","",DATE(YEAR(A424),MONTH(A424),1))</x:f>
      </x:c>
    </x:row>
    <x:row r="425">
      <x:c r="A425" s="9"/>
      <x:c r="B425" s="7"/>
      <x:c r="C425" s="7" t="str">
        <x:f>IF(B425="","",XLOOKUP(B425,Employees!$A$4:$A$53,Employees!$B$4:$B$53,""))</x:f>
      </x:c>
      <x:c r="D425" s="7"/>
      <x:c r="E425" s="10" t="n">
        <x:v>8</x:v>
      </x:c>
      <x:c r="F425" s="10"/>
      <x:c r="G425" s="10" t="str">
        <x:f>IF(F425="","",MIN(F425,E425))</x:f>
      </x:c>
      <x:c r="H425" s="10" t="str">
        <x:f>IF(F425="","",MAX(0,F425-E425))</x:f>
      </x:c>
      <x:c r="I425" s="24"/>
      <x:c r="J425" s="7"/>
      <x:c r="K425" s="8" t="str">
        <x:f>IF(A425="","",DATE(YEAR(A425),MONTH(A425),1))</x:f>
      </x:c>
    </x:row>
    <x:row r="426">
      <x:c r="A426" s="9"/>
      <x:c r="B426" s="7"/>
      <x:c r="C426" s="7" t="str">
        <x:f>IF(B426="","",XLOOKUP(B426,Employees!$A$4:$A$53,Employees!$B$4:$B$53,""))</x:f>
      </x:c>
      <x:c r="D426" s="7"/>
      <x:c r="E426" s="10" t="n">
        <x:v>8</x:v>
      </x:c>
      <x:c r="F426" s="10"/>
      <x:c r="G426" s="10" t="str">
        <x:f>IF(F426="","",MIN(F426,E426))</x:f>
      </x:c>
      <x:c r="H426" s="10" t="str">
        <x:f>IF(F426="","",MAX(0,F426-E426))</x:f>
      </x:c>
      <x:c r="I426" s="24"/>
      <x:c r="J426" s="7"/>
      <x:c r="K426" s="8" t="str">
        <x:f>IF(A426="","",DATE(YEAR(A426),MONTH(A426),1))</x:f>
      </x:c>
    </x:row>
    <x:row r="427">
      <x:c r="A427" s="9"/>
      <x:c r="B427" s="7"/>
      <x:c r="C427" s="7" t="str">
        <x:f>IF(B427="","",XLOOKUP(B427,Employees!$A$4:$A$53,Employees!$B$4:$B$53,""))</x:f>
      </x:c>
      <x:c r="D427" s="7"/>
      <x:c r="E427" s="10" t="n">
        <x:v>8</x:v>
      </x:c>
      <x:c r="F427" s="10"/>
      <x:c r="G427" s="10" t="str">
        <x:f>IF(F427="","",MIN(F427,E427))</x:f>
      </x:c>
      <x:c r="H427" s="10" t="str">
        <x:f>IF(F427="","",MAX(0,F427-E427))</x:f>
      </x:c>
      <x:c r="I427" s="24"/>
      <x:c r="J427" s="7"/>
      <x:c r="K427" s="8" t="str">
        <x:f>IF(A427="","",DATE(YEAR(A427),MONTH(A427),1))</x:f>
      </x:c>
    </x:row>
    <x:row r="428">
      <x:c r="A428" s="9"/>
      <x:c r="B428" s="7"/>
      <x:c r="C428" s="7" t="str">
        <x:f>IF(B428="","",XLOOKUP(B428,Employees!$A$4:$A$53,Employees!$B$4:$B$53,""))</x:f>
      </x:c>
      <x:c r="D428" s="7"/>
      <x:c r="E428" s="10" t="n">
        <x:v>8</x:v>
      </x:c>
      <x:c r="F428" s="10"/>
      <x:c r="G428" s="10" t="str">
        <x:f>IF(F428="","",MIN(F428,E428))</x:f>
      </x:c>
      <x:c r="H428" s="10" t="str">
        <x:f>IF(F428="","",MAX(0,F428-E428))</x:f>
      </x:c>
      <x:c r="I428" s="24"/>
      <x:c r="J428" s="7"/>
      <x:c r="K428" s="8" t="str">
        <x:f>IF(A428="","",DATE(YEAR(A428),MONTH(A428),1))</x:f>
      </x:c>
    </x:row>
    <x:row r="429">
      <x:c r="A429" s="9"/>
      <x:c r="B429" s="7"/>
      <x:c r="C429" s="7" t="str">
        <x:f>IF(B429="","",XLOOKUP(B429,Employees!$A$4:$A$53,Employees!$B$4:$B$53,""))</x:f>
      </x:c>
      <x:c r="D429" s="7"/>
      <x:c r="E429" s="10" t="n">
        <x:v>8</x:v>
      </x:c>
      <x:c r="F429" s="10"/>
      <x:c r="G429" s="10" t="str">
        <x:f>IF(F429="","",MIN(F429,E429))</x:f>
      </x:c>
      <x:c r="H429" s="10" t="str">
        <x:f>IF(F429="","",MAX(0,F429-E429))</x:f>
      </x:c>
      <x:c r="I429" s="24"/>
      <x:c r="J429" s="7"/>
      <x:c r="K429" s="8" t="str">
        <x:f>IF(A429="","",DATE(YEAR(A429),MONTH(A429),1))</x:f>
      </x:c>
    </x:row>
    <x:row r="430">
      <x:c r="A430" s="9"/>
      <x:c r="B430" s="7"/>
      <x:c r="C430" s="7" t="str">
        <x:f>IF(B430="","",XLOOKUP(B430,Employees!$A$4:$A$53,Employees!$B$4:$B$53,""))</x:f>
      </x:c>
      <x:c r="D430" s="7"/>
      <x:c r="E430" s="10" t="n">
        <x:v>8</x:v>
      </x:c>
      <x:c r="F430" s="10"/>
      <x:c r="G430" s="10" t="str">
        <x:f>IF(F430="","",MIN(F430,E430))</x:f>
      </x:c>
      <x:c r="H430" s="10" t="str">
        <x:f>IF(F430="","",MAX(0,F430-E430))</x:f>
      </x:c>
      <x:c r="I430" s="24"/>
      <x:c r="J430" s="7"/>
      <x:c r="K430" s="8" t="str">
        <x:f>IF(A430="","",DATE(YEAR(A430),MONTH(A430),1))</x:f>
      </x:c>
    </x:row>
    <x:row r="431">
      <x:c r="A431" s="9"/>
      <x:c r="B431" s="7"/>
      <x:c r="C431" s="7" t="str">
        <x:f>IF(B431="","",XLOOKUP(B431,Employees!$A$4:$A$53,Employees!$B$4:$B$53,""))</x:f>
      </x:c>
      <x:c r="D431" s="7"/>
      <x:c r="E431" s="10" t="n">
        <x:v>8</x:v>
      </x:c>
      <x:c r="F431" s="10"/>
      <x:c r="G431" s="10" t="str">
        <x:f>IF(F431="","",MIN(F431,E431))</x:f>
      </x:c>
      <x:c r="H431" s="10" t="str">
        <x:f>IF(F431="","",MAX(0,F431-E431))</x:f>
      </x:c>
      <x:c r="I431" s="24"/>
      <x:c r="J431" s="7"/>
      <x:c r="K431" s="8" t="str">
        <x:f>IF(A431="","",DATE(YEAR(A431),MONTH(A431),1))</x:f>
      </x:c>
    </x:row>
    <x:row r="432">
      <x:c r="A432" s="9"/>
      <x:c r="B432" s="7"/>
      <x:c r="C432" s="7" t="str">
        <x:f>IF(B432="","",XLOOKUP(B432,Employees!$A$4:$A$53,Employees!$B$4:$B$53,""))</x:f>
      </x:c>
      <x:c r="D432" s="7"/>
      <x:c r="E432" s="10" t="n">
        <x:v>8</x:v>
      </x:c>
      <x:c r="F432" s="10"/>
      <x:c r="G432" s="10" t="str">
        <x:f>IF(F432="","",MIN(F432,E432))</x:f>
      </x:c>
      <x:c r="H432" s="10" t="str">
        <x:f>IF(F432="","",MAX(0,F432-E432))</x:f>
      </x:c>
      <x:c r="I432" s="24"/>
      <x:c r="J432" s="7"/>
      <x:c r="K432" s="8" t="str">
        <x:f>IF(A432="","",DATE(YEAR(A432),MONTH(A432),1))</x:f>
      </x:c>
    </x:row>
    <x:row r="433">
      <x:c r="A433" s="9"/>
      <x:c r="B433" s="7"/>
      <x:c r="C433" s="7" t="str">
        <x:f>IF(B433="","",XLOOKUP(B433,Employees!$A$4:$A$53,Employees!$B$4:$B$53,""))</x:f>
      </x:c>
      <x:c r="D433" s="7"/>
      <x:c r="E433" s="10" t="n">
        <x:v>8</x:v>
      </x:c>
      <x:c r="F433" s="10"/>
      <x:c r="G433" s="10" t="str">
        <x:f>IF(F433="","",MIN(F433,E433))</x:f>
      </x:c>
      <x:c r="H433" s="10" t="str">
        <x:f>IF(F433="","",MAX(0,F433-E433))</x:f>
      </x:c>
      <x:c r="I433" s="24"/>
      <x:c r="J433" s="7"/>
      <x:c r="K433" s="8" t="str">
        <x:f>IF(A433="","",DATE(YEAR(A433),MONTH(A433),1))</x:f>
      </x:c>
    </x:row>
    <x:row r="434">
      <x:c r="A434" s="9"/>
      <x:c r="B434" s="7"/>
      <x:c r="C434" s="7" t="str">
        <x:f>IF(B434="","",XLOOKUP(B434,Employees!$A$4:$A$53,Employees!$B$4:$B$53,""))</x:f>
      </x:c>
      <x:c r="D434" s="7"/>
      <x:c r="E434" s="10" t="n">
        <x:v>8</x:v>
      </x:c>
      <x:c r="F434" s="10"/>
      <x:c r="G434" s="10" t="str">
        <x:f>IF(F434="","",MIN(F434,E434))</x:f>
      </x:c>
      <x:c r="H434" s="10" t="str">
        <x:f>IF(F434="","",MAX(0,F434-E434))</x:f>
      </x:c>
      <x:c r="I434" s="24"/>
      <x:c r="J434" s="7"/>
      <x:c r="K434" s="8" t="str">
        <x:f>IF(A434="","",DATE(YEAR(A434),MONTH(A434),1))</x:f>
      </x:c>
    </x:row>
    <x:row r="435">
      <x:c r="A435" s="9"/>
      <x:c r="B435" s="7"/>
      <x:c r="C435" s="7" t="str">
        <x:f>IF(B435="","",XLOOKUP(B435,Employees!$A$4:$A$53,Employees!$B$4:$B$53,""))</x:f>
      </x:c>
      <x:c r="D435" s="7"/>
      <x:c r="E435" s="10" t="n">
        <x:v>8</x:v>
      </x:c>
      <x:c r="F435" s="10"/>
      <x:c r="G435" s="10" t="str">
        <x:f>IF(F435="","",MIN(F435,E435))</x:f>
      </x:c>
      <x:c r="H435" s="10" t="str">
        <x:f>IF(F435="","",MAX(0,F435-E435))</x:f>
      </x:c>
      <x:c r="I435" s="24"/>
      <x:c r="J435" s="7"/>
      <x:c r="K435" s="8" t="str">
        <x:f>IF(A435="","",DATE(YEAR(A435),MONTH(A435),1))</x:f>
      </x:c>
    </x:row>
    <x:row r="436">
      <x:c r="A436" s="9"/>
      <x:c r="B436" s="7"/>
      <x:c r="C436" s="7" t="str">
        <x:f>IF(B436="","",XLOOKUP(B436,Employees!$A$4:$A$53,Employees!$B$4:$B$53,""))</x:f>
      </x:c>
      <x:c r="D436" s="7"/>
      <x:c r="E436" s="10" t="n">
        <x:v>8</x:v>
      </x:c>
      <x:c r="F436" s="10"/>
      <x:c r="G436" s="10" t="str">
        <x:f>IF(F436="","",MIN(F436,E436))</x:f>
      </x:c>
      <x:c r="H436" s="10" t="str">
        <x:f>IF(F436="","",MAX(0,F436-E436))</x:f>
      </x:c>
      <x:c r="I436" s="24"/>
      <x:c r="J436" s="7"/>
      <x:c r="K436" s="8" t="str">
        <x:f>IF(A436="","",DATE(YEAR(A436),MONTH(A436),1))</x:f>
      </x:c>
    </x:row>
    <x:row r="437">
      <x:c r="A437" s="9"/>
      <x:c r="B437" s="7"/>
      <x:c r="C437" s="7" t="str">
        <x:f>IF(B437="","",XLOOKUP(B437,Employees!$A$4:$A$53,Employees!$B$4:$B$53,""))</x:f>
      </x:c>
      <x:c r="D437" s="7"/>
      <x:c r="E437" s="10" t="n">
        <x:v>8</x:v>
      </x:c>
      <x:c r="F437" s="10"/>
      <x:c r="G437" s="10" t="str">
        <x:f>IF(F437="","",MIN(F437,E437))</x:f>
      </x:c>
      <x:c r="H437" s="10" t="str">
        <x:f>IF(F437="","",MAX(0,F437-E437))</x:f>
      </x:c>
      <x:c r="I437" s="24"/>
      <x:c r="J437" s="7"/>
      <x:c r="K437" s="8" t="str">
        <x:f>IF(A437="","",DATE(YEAR(A437),MONTH(A437),1))</x:f>
      </x:c>
    </x:row>
    <x:row r="438">
      <x:c r="A438" s="9"/>
      <x:c r="B438" s="7"/>
      <x:c r="C438" s="7" t="str">
        <x:f>IF(B438="","",XLOOKUP(B438,Employees!$A$4:$A$53,Employees!$B$4:$B$53,""))</x:f>
      </x:c>
      <x:c r="D438" s="7"/>
      <x:c r="E438" s="10" t="n">
        <x:v>8</x:v>
      </x:c>
      <x:c r="F438" s="10"/>
      <x:c r="G438" s="10" t="str">
        <x:f>IF(F438="","",MIN(F438,E438))</x:f>
      </x:c>
      <x:c r="H438" s="10" t="str">
        <x:f>IF(F438="","",MAX(0,F438-E438))</x:f>
      </x:c>
      <x:c r="I438" s="24"/>
      <x:c r="J438" s="7"/>
      <x:c r="K438" s="8" t="str">
        <x:f>IF(A438="","",DATE(YEAR(A438),MONTH(A438),1))</x:f>
      </x:c>
    </x:row>
    <x:row r="439">
      <x:c r="A439" s="9"/>
      <x:c r="B439" s="7"/>
      <x:c r="C439" s="7" t="str">
        <x:f>IF(B439="","",XLOOKUP(B439,Employees!$A$4:$A$53,Employees!$B$4:$B$53,""))</x:f>
      </x:c>
      <x:c r="D439" s="7"/>
      <x:c r="E439" s="10" t="n">
        <x:v>8</x:v>
      </x:c>
      <x:c r="F439" s="10"/>
      <x:c r="G439" s="10" t="str">
        <x:f>IF(F439="","",MIN(F439,E439))</x:f>
      </x:c>
      <x:c r="H439" s="10" t="str">
        <x:f>IF(F439="","",MAX(0,F439-E439))</x:f>
      </x:c>
      <x:c r="I439" s="24"/>
      <x:c r="J439" s="7"/>
      <x:c r="K439" s="8" t="str">
        <x:f>IF(A439="","",DATE(YEAR(A439),MONTH(A439),1))</x:f>
      </x:c>
    </x:row>
    <x:row r="440">
      <x:c r="A440" s="9"/>
      <x:c r="B440" s="7"/>
      <x:c r="C440" s="7" t="str">
        <x:f>IF(B440="","",XLOOKUP(B440,Employees!$A$4:$A$53,Employees!$B$4:$B$53,""))</x:f>
      </x:c>
      <x:c r="D440" s="7"/>
      <x:c r="E440" s="10" t="n">
        <x:v>8</x:v>
      </x:c>
      <x:c r="F440" s="10"/>
      <x:c r="G440" s="10" t="str">
        <x:f>IF(F440="","",MIN(F440,E440))</x:f>
      </x:c>
      <x:c r="H440" s="10" t="str">
        <x:f>IF(F440="","",MAX(0,F440-E440))</x:f>
      </x:c>
      <x:c r="I440" s="24"/>
      <x:c r="J440" s="7"/>
      <x:c r="K440" s="8" t="str">
        <x:f>IF(A440="","",DATE(YEAR(A440),MONTH(A440),1))</x:f>
      </x:c>
    </x:row>
    <x:row r="441">
      <x:c r="A441" s="9"/>
      <x:c r="B441" s="7"/>
      <x:c r="C441" s="7" t="str">
        <x:f>IF(B441="","",XLOOKUP(B441,Employees!$A$4:$A$53,Employees!$B$4:$B$53,""))</x:f>
      </x:c>
      <x:c r="D441" s="7"/>
      <x:c r="E441" s="10" t="n">
        <x:v>8</x:v>
      </x:c>
      <x:c r="F441" s="10"/>
      <x:c r="G441" s="10" t="str">
        <x:f>IF(F441="","",MIN(F441,E441))</x:f>
      </x:c>
      <x:c r="H441" s="10" t="str">
        <x:f>IF(F441="","",MAX(0,F441-E441))</x:f>
      </x:c>
      <x:c r="I441" s="24"/>
      <x:c r="J441" s="7"/>
      <x:c r="K441" s="8" t="str">
        <x:f>IF(A441="","",DATE(YEAR(A441),MONTH(A441),1))</x:f>
      </x:c>
    </x:row>
    <x:row r="442">
      <x:c r="A442" s="9"/>
      <x:c r="B442" s="7"/>
      <x:c r="C442" s="7" t="str">
        <x:f>IF(B442="","",XLOOKUP(B442,Employees!$A$4:$A$53,Employees!$B$4:$B$53,""))</x:f>
      </x:c>
      <x:c r="D442" s="7"/>
      <x:c r="E442" s="10" t="n">
        <x:v>8</x:v>
      </x:c>
      <x:c r="F442" s="10"/>
      <x:c r="G442" s="10" t="str">
        <x:f>IF(F442="","",MIN(F442,E442))</x:f>
      </x:c>
      <x:c r="H442" s="10" t="str">
        <x:f>IF(F442="","",MAX(0,F442-E442))</x:f>
      </x:c>
      <x:c r="I442" s="24"/>
      <x:c r="J442" s="7"/>
      <x:c r="K442" s="8" t="str">
        <x:f>IF(A442="","",DATE(YEAR(A442),MONTH(A442),1))</x:f>
      </x:c>
    </x:row>
    <x:row r="443">
      <x:c r="A443" s="9"/>
      <x:c r="B443" s="7"/>
      <x:c r="C443" s="7" t="str">
        <x:f>IF(B443="","",XLOOKUP(B443,Employees!$A$4:$A$53,Employees!$B$4:$B$53,""))</x:f>
      </x:c>
      <x:c r="D443" s="7"/>
      <x:c r="E443" s="10" t="n">
        <x:v>8</x:v>
      </x:c>
      <x:c r="F443" s="10"/>
      <x:c r="G443" s="10" t="str">
        <x:f>IF(F443="","",MIN(F443,E443))</x:f>
      </x:c>
      <x:c r="H443" s="10" t="str">
        <x:f>IF(F443="","",MAX(0,F443-E443))</x:f>
      </x:c>
      <x:c r="I443" s="24"/>
      <x:c r="J443" s="7"/>
      <x:c r="K443" s="8" t="str">
        <x:f>IF(A443="","",DATE(YEAR(A443),MONTH(A443),1))</x:f>
      </x:c>
    </x:row>
    <x:row r="444">
      <x:c r="A444" s="9"/>
      <x:c r="B444" s="7"/>
      <x:c r="C444" s="7" t="str">
        <x:f>IF(B444="","",XLOOKUP(B444,Employees!$A$4:$A$53,Employees!$B$4:$B$53,""))</x:f>
      </x:c>
      <x:c r="D444" s="7"/>
      <x:c r="E444" s="10" t="n">
        <x:v>8</x:v>
      </x:c>
      <x:c r="F444" s="10"/>
      <x:c r="G444" s="10" t="str">
        <x:f>IF(F444="","",MIN(F444,E444))</x:f>
      </x:c>
      <x:c r="H444" s="10" t="str">
        <x:f>IF(F444="","",MAX(0,F444-E444))</x:f>
      </x:c>
      <x:c r="I444" s="24"/>
      <x:c r="J444" s="7"/>
      <x:c r="K444" s="8" t="str">
        <x:f>IF(A444="","",DATE(YEAR(A444),MONTH(A444),1))</x:f>
      </x:c>
    </x:row>
    <x:row r="445">
      <x:c r="A445" s="9"/>
      <x:c r="B445" s="7"/>
      <x:c r="C445" s="7" t="str">
        <x:f>IF(B445="","",XLOOKUP(B445,Employees!$A$4:$A$53,Employees!$B$4:$B$53,""))</x:f>
      </x:c>
      <x:c r="D445" s="7"/>
      <x:c r="E445" s="10" t="n">
        <x:v>8</x:v>
      </x:c>
      <x:c r="F445" s="10"/>
      <x:c r="G445" s="10" t="str">
        <x:f>IF(F445="","",MIN(F445,E445))</x:f>
      </x:c>
      <x:c r="H445" s="10" t="str">
        <x:f>IF(F445="","",MAX(0,F445-E445))</x:f>
      </x:c>
      <x:c r="I445" s="24"/>
      <x:c r="J445" s="7"/>
      <x:c r="K445" s="8" t="str">
        <x:f>IF(A445="","",DATE(YEAR(A445),MONTH(A445),1))</x:f>
      </x:c>
    </x:row>
    <x:row r="446">
      <x:c r="A446" s="9"/>
      <x:c r="B446" s="7"/>
      <x:c r="C446" s="7" t="str">
        <x:f>IF(B446="","",XLOOKUP(B446,Employees!$A$4:$A$53,Employees!$B$4:$B$53,""))</x:f>
      </x:c>
      <x:c r="D446" s="7"/>
      <x:c r="E446" s="10" t="n">
        <x:v>8</x:v>
      </x:c>
      <x:c r="F446" s="10"/>
      <x:c r="G446" s="10" t="str">
        <x:f>IF(F446="","",MIN(F446,E446))</x:f>
      </x:c>
      <x:c r="H446" s="10" t="str">
        <x:f>IF(F446="","",MAX(0,F446-E446))</x:f>
      </x:c>
      <x:c r="I446" s="24"/>
      <x:c r="J446" s="7"/>
      <x:c r="K446" s="8" t="str">
        <x:f>IF(A446="","",DATE(YEAR(A446),MONTH(A446),1))</x:f>
      </x:c>
    </x:row>
    <x:row r="447">
      <x:c r="A447" s="9"/>
      <x:c r="B447" s="7"/>
      <x:c r="C447" s="7" t="str">
        <x:f>IF(B447="","",XLOOKUP(B447,Employees!$A$4:$A$53,Employees!$B$4:$B$53,""))</x:f>
      </x:c>
      <x:c r="D447" s="7"/>
      <x:c r="E447" s="10" t="n">
        <x:v>8</x:v>
      </x:c>
      <x:c r="F447" s="10"/>
      <x:c r="G447" s="10" t="str">
        <x:f>IF(F447="","",MIN(F447,E447))</x:f>
      </x:c>
      <x:c r="H447" s="10" t="str">
        <x:f>IF(F447="","",MAX(0,F447-E447))</x:f>
      </x:c>
      <x:c r="I447" s="24"/>
      <x:c r="J447" s="7"/>
      <x:c r="K447" s="8" t="str">
        <x:f>IF(A447="","",DATE(YEAR(A447),MONTH(A447),1))</x:f>
      </x:c>
    </x:row>
    <x:row r="448">
      <x:c r="A448" s="9"/>
      <x:c r="B448" s="7"/>
      <x:c r="C448" s="7" t="str">
        <x:f>IF(B448="","",XLOOKUP(B448,Employees!$A$4:$A$53,Employees!$B$4:$B$53,""))</x:f>
      </x:c>
      <x:c r="D448" s="7"/>
      <x:c r="E448" s="10" t="n">
        <x:v>8</x:v>
      </x:c>
      <x:c r="F448" s="10"/>
      <x:c r="G448" s="10" t="str">
        <x:f>IF(F448="","",MIN(F448,E448))</x:f>
      </x:c>
      <x:c r="H448" s="10" t="str">
        <x:f>IF(F448="","",MAX(0,F448-E448))</x:f>
      </x:c>
      <x:c r="I448" s="24"/>
      <x:c r="J448" s="7"/>
      <x:c r="K448" s="8" t="str">
        <x:f>IF(A448="","",DATE(YEAR(A448),MONTH(A448),1))</x:f>
      </x:c>
    </x:row>
    <x:row r="449">
      <x:c r="A449" s="9"/>
      <x:c r="B449" s="7"/>
      <x:c r="C449" s="7" t="str">
        <x:f>IF(B449="","",XLOOKUP(B449,Employees!$A$4:$A$53,Employees!$B$4:$B$53,""))</x:f>
      </x:c>
      <x:c r="D449" s="7"/>
      <x:c r="E449" s="10" t="n">
        <x:v>8</x:v>
      </x:c>
      <x:c r="F449" s="10"/>
      <x:c r="G449" s="10" t="str">
        <x:f>IF(F449="","",MIN(F449,E449))</x:f>
      </x:c>
      <x:c r="H449" s="10" t="str">
        <x:f>IF(F449="","",MAX(0,F449-E449))</x:f>
      </x:c>
      <x:c r="I449" s="24"/>
      <x:c r="J449" s="7"/>
      <x:c r="K449" s="8" t="str">
        <x:f>IF(A449="","",DATE(YEAR(A449),MONTH(A449),1))</x:f>
      </x:c>
    </x:row>
    <x:row r="450">
      <x:c r="A450" s="9"/>
      <x:c r="B450" s="7"/>
      <x:c r="C450" s="7" t="str">
        <x:f>IF(B450="","",XLOOKUP(B450,Employees!$A$4:$A$53,Employees!$B$4:$B$53,""))</x:f>
      </x:c>
      <x:c r="D450" s="7"/>
      <x:c r="E450" s="10" t="n">
        <x:v>8</x:v>
      </x:c>
      <x:c r="F450" s="10"/>
      <x:c r="G450" s="10" t="str">
        <x:f>IF(F450="","",MIN(F450,E450))</x:f>
      </x:c>
      <x:c r="H450" s="10" t="str">
        <x:f>IF(F450="","",MAX(0,F450-E450))</x:f>
      </x:c>
      <x:c r="I450" s="24"/>
      <x:c r="J450" s="7"/>
      <x:c r="K450" s="8" t="str">
        <x:f>IF(A450="","",DATE(YEAR(A450),MONTH(A450),1))</x:f>
      </x:c>
    </x:row>
    <x:row r="451">
      <x:c r="A451" s="9"/>
      <x:c r="B451" s="7"/>
      <x:c r="C451" s="7" t="str">
        <x:f>IF(B451="","",XLOOKUP(B451,Employees!$A$4:$A$53,Employees!$B$4:$B$53,""))</x:f>
      </x:c>
      <x:c r="D451" s="7"/>
      <x:c r="E451" s="10" t="n">
        <x:v>8</x:v>
      </x:c>
      <x:c r="F451" s="10"/>
      <x:c r="G451" s="10" t="str">
        <x:f>IF(F451="","",MIN(F451,E451))</x:f>
      </x:c>
      <x:c r="H451" s="10" t="str">
        <x:f>IF(F451="","",MAX(0,F451-E451))</x:f>
      </x:c>
      <x:c r="I451" s="24"/>
      <x:c r="J451" s="7"/>
      <x:c r="K451" s="8" t="str">
        <x:f>IF(A451="","",DATE(YEAR(A451),MONTH(A451),1))</x:f>
      </x:c>
    </x:row>
    <x:row r="452">
      <x:c r="A452" s="9"/>
      <x:c r="B452" s="7"/>
      <x:c r="C452" s="7" t="str">
        <x:f>IF(B452="","",XLOOKUP(B452,Employees!$A$4:$A$53,Employees!$B$4:$B$53,""))</x:f>
      </x:c>
      <x:c r="D452" s="7"/>
      <x:c r="E452" s="10" t="n">
        <x:v>8</x:v>
      </x:c>
      <x:c r="F452" s="10"/>
      <x:c r="G452" s="10" t="str">
        <x:f>IF(F452="","",MIN(F452,E452))</x:f>
      </x:c>
      <x:c r="H452" s="10" t="str">
        <x:f>IF(F452="","",MAX(0,F452-E452))</x:f>
      </x:c>
      <x:c r="I452" s="24"/>
      <x:c r="J452" s="7"/>
      <x:c r="K452" s="8" t="str">
        <x:f>IF(A452="","",DATE(YEAR(A452),MONTH(A452),1))</x:f>
      </x:c>
    </x:row>
    <x:row r="453">
      <x:c r="A453" s="9"/>
      <x:c r="B453" s="7"/>
      <x:c r="C453" s="7" t="str">
        <x:f>IF(B453="","",XLOOKUP(B453,Employees!$A$4:$A$53,Employees!$B$4:$B$53,""))</x:f>
      </x:c>
      <x:c r="D453" s="7"/>
      <x:c r="E453" s="10" t="n">
        <x:v>8</x:v>
      </x:c>
      <x:c r="F453" s="10"/>
      <x:c r="G453" s="10" t="str">
        <x:f>IF(F453="","",MIN(F453,E453))</x:f>
      </x:c>
      <x:c r="H453" s="10" t="str">
        <x:f>IF(F453="","",MAX(0,F453-E453))</x:f>
      </x:c>
      <x:c r="I453" s="24"/>
      <x:c r="J453" s="7"/>
      <x:c r="K453" s="8" t="str">
        <x:f>IF(A453="","",DATE(YEAR(A453),MONTH(A453),1))</x:f>
      </x:c>
    </x:row>
    <x:row r="454">
      <x:c r="A454" s="9"/>
      <x:c r="B454" s="7"/>
      <x:c r="C454" s="7" t="str">
        <x:f>IF(B454="","",XLOOKUP(B454,Employees!$A$4:$A$53,Employees!$B$4:$B$53,""))</x:f>
      </x:c>
      <x:c r="D454" s="7"/>
      <x:c r="E454" s="10" t="n">
        <x:v>8</x:v>
      </x:c>
      <x:c r="F454" s="10"/>
      <x:c r="G454" s="10" t="str">
        <x:f>IF(F454="","",MIN(F454,E454))</x:f>
      </x:c>
      <x:c r="H454" s="10" t="str">
        <x:f>IF(F454="","",MAX(0,F454-E454))</x:f>
      </x:c>
      <x:c r="I454" s="24"/>
      <x:c r="J454" s="7"/>
      <x:c r="K454" s="8" t="str">
        <x:f>IF(A454="","",DATE(YEAR(A454),MONTH(A454),1))</x:f>
      </x:c>
    </x:row>
    <x:row r="455">
      <x:c r="A455" s="9"/>
      <x:c r="B455" s="7"/>
      <x:c r="C455" s="7" t="str">
        <x:f>IF(B455="","",XLOOKUP(B455,Employees!$A$4:$A$53,Employees!$B$4:$B$53,""))</x:f>
      </x:c>
      <x:c r="D455" s="7"/>
      <x:c r="E455" s="10" t="n">
        <x:v>8</x:v>
      </x:c>
      <x:c r="F455" s="10"/>
      <x:c r="G455" s="10" t="str">
        <x:f>IF(F455="","",MIN(F455,E455))</x:f>
      </x:c>
      <x:c r="H455" s="10" t="str">
        <x:f>IF(F455="","",MAX(0,F455-E455))</x:f>
      </x:c>
      <x:c r="I455" s="24"/>
      <x:c r="J455" s="7"/>
      <x:c r="K455" s="8" t="str">
        <x:f>IF(A455="","",DATE(YEAR(A455),MONTH(A455),1))</x:f>
      </x:c>
    </x:row>
    <x:row r="456">
      <x:c r="A456" s="9"/>
      <x:c r="B456" s="7"/>
      <x:c r="C456" s="7" t="str">
        <x:f>IF(B456="","",XLOOKUP(B456,Employees!$A$4:$A$53,Employees!$B$4:$B$53,""))</x:f>
      </x:c>
      <x:c r="D456" s="7"/>
      <x:c r="E456" s="10" t="n">
        <x:v>8</x:v>
      </x:c>
      <x:c r="F456" s="10"/>
      <x:c r="G456" s="10" t="str">
        <x:f>IF(F456="","",MIN(F456,E456))</x:f>
      </x:c>
      <x:c r="H456" s="10" t="str">
        <x:f>IF(F456="","",MAX(0,F456-E456))</x:f>
      </x:c>
      <x:c r="I456" s="24"/>
      <x:c r="J456" s="7"/>
      <x:c r="K456" s="8" t="str">
        <x:f>IF(A456="","",DATE(YEAR(A456),MONTH(A456),1))</x:f>
      </x:c>
    </x:row>
    <x:row r="457">
      <x:c r="A457" s="9"/>
      <x:c r="B457" s="7"/>
      <x:c r="C457" s="7" t="str">
        <x:f>IF(B457="","",XLOOKUP(B457,Employees!$A$4:$A$53,Employees!$B$4:$B$53,""))</x:f>
      </x:c>
      <x:c r="D457" s="7"/>
      <x:c r="E457" s="10" t="n">
        <x:v>8</x:v>
      </x:c>
      <x:c r="F457" s="10"/>
      <x:c r="G457" s="10" t="str">
        <x:f>IF(F457="","",MIN(F457,E457))</x:f>
      </x:c>
      <x:c r="H457" s="10" t="str">
        <x:f>IF(F457="","",MAX(0,F457-E457))</x:f>
      </x:c>
      <x:c r="I457" s="24"/>
      <x:c r="J457" s="7"/>
      <x:c r="K457" s="8" t="str">
        <x:f>IF(A457="","",DATE(YEAR(A457),MONTH(A457),1))</x:f>
      </x:c>
    </x:row>
    <x:row r="458">
      <x:c r="A458" s="9"/>
      <x:c r="B458" s="7"/>
      <x:c r="C458" s="7" t="str">
        <x:f>IF(B458="","",XLOOKUP(B458,Employees!$A$4:$A$53,Employees!$B$4:$B$53,""))</x:f>
      </x:c>
      <x:c r="D458" s="7"/>
      <x:c r="E458" s="10" t="n">
        <x:v>8</x:v>
      </x:c>
      <x:c r="F458" s="10"/>
      <x:c r="G458" s="10" t="str">
        <x:f>IF(F458="","",MIN(F458,E458))</x:f>
      </x:c>
      <x:c r="H458" s="10" t="str">
        <x:f>IF(F458="","",MAX(0,F458-E458))</x:f>
      </x:c>
      <x:c r="I458" s="24"/>
      <x:c r="J458" s="7"/>
      <x:c r="K458" s="8" t="str">
        <x:f>IF(A458="","",DATE(YEAR(A458),MONTH(A458),1))</x:f>
      </x:c>
    </x:row>
    <x:row r="459">
      <x:c r="A459" s="9"/>
      <x:c r="B459" s="7"/>
      <x:c r="C459" s="7" t="str">
        <x:f>IF(B459="","",XLOOKUP(B459,Employees!$A$4:$A$53,Employees!$B$4:$B$53,""))</x:f>
      </x:c>
      <x:c r="D459" s="7"/>
      <x:c r="E459" s="10" t="n">
        <x:v>8</x:v>
      </x:c>
      <x:c r="F459" s="10"/>
      <x:c r="G459" s="10" t="str">
        <x:f>IF(F459="","",MIN(F459,E459))</x:f>
      </x:c>
      <x:c r="H459" s="10" t="str">
        <x:f>IF(F459="","",MAX(0,F459-E459))</x:f>
      </x:c>
      <x:c r="I459" s="24"/>
      <x:c r="J459" s="7"/>
      <x:c r="K459" s="8" t="str">
        <x:f>IF(A459="","",DATE(YEAR(A459),MONTH(A459),1))</x:f>
      </x:c>
    </x:row>
    <x:row r="460">
      <x:c r="A460" s="9"/>
      <x:c r="B460" s="7"/>
      <x:c r="C460" s="7" t="str">
        <x:f>IF(B460="","",XLOOKUP(B460,Employees!$A$4:$A$53,Employees!$B$4:$B$53,""))</x:f>
      </x:c>
      <x:c r="D460" s="7"/>
      <x:c r="E460" s="10" t="n">
        <x:v>8</x:v>
      </x:c>
      <x:c r="F460" s="10"/>
      <x:c r="G460" s="10" t="str">
        <x:f>IF(F460="","",MIN(F460,E460))</x:f>
      </x:c>
      <x:c r="H460" s="10" t="str">
        <x:f>IF(F460="","",MAX(0,F460-E460))</x:f>
      </x:c>
      <x:c r="I460" s="24"/>
      <x:c r="J460" s="7"/>
      <x:c r="K460" s="8" t="str">
        <x:f>IF(A460="","",DATE(YEAR(A460),MONTH(A460),1))</x:f>
      </x:c>
    </x:row>
    <x:row r="461">
      <x:c r="A461" s="9"/>
      <x:c r="B461" s="7"/>
      <x:c r="C461" s="7" t="str">
        <x:f>IF(B461="","",XLOOKUP(B461,Employees!$A$4:$A$53,Employees!$B$4:$B$53,""))</x:f>
      </x:c>
      <x:c r="D461" s="7"/>
      <x:c r="E461" s="10" t="n">
        <x:v>8</x:v>
      </x:c>
      <x:c r="F461" s="10"/>
      <x:c r="G461" s="10" t="str">
        <x:f>IF(F461="","",MIN(F461,E461))</x:f>
      </x:c>
      <x:c r="H461" s="10" t="str">
        <x:f>IF(F461="","",MAX(0,F461-E461))</x:f>
      </x:c>
      <x:c r="I461" s="24"/>
      <x:c r="J461" s="7"/>
      <x:c r="K461" s="8" t="str">
        <x:f>IF(A461="","",DATE(YEAR(A461),MONTH(A461),1))</x:f>
      </x:c>
    </x:row>
    <x:row r="462">
      <x:c r="A462" s="9"/>
      <x:c r="B462" s="7"/>
      <x:c r="C462" s="7" t="str">
        <x:f>IF(B462="","",XLOOKUP(B462,Employees!$A$4:$A$53,Employees!$B$4:$B$53,""))</x:f>
      </x:c>
      <x:c r="D462" s="7"/>
      <x:c r="E462" s="10" t="n">
        <x:v>8</x:v>
      </x:c>
      <x:c r="F462" s="10"/>
      <x:c r="G462" s="10" t="str">
        <x:f>IF(F462="","",MIN(F462,E462))</x:f>
      </x:c>
      <x:c r="H462" s="10" t="str">
        <x:f>IF(F462="","",MAX(0,F462-E462))</x:f>
      </x:c>
      <x:c r="I462" s="24"/>
      <x:c r="J462" s="7"/>
      <x:c r="K462" s="8" t="str">
        <x:f>IF(A462="","",DATE(YEAR(A462),MONTH(A462),1))</x:f>
      </x:c>
    </x:row>
    <x:row r="463">
      <x:c r="A463" s="9"/>
      <x:c r="B463" s="7"/>
      <x:c r="C463" s="7" t="str">
        <x:f>IF(B463="","",XLOOKUP(B463,Employees!$A$4:$A$53,Employees!$B$4:$B$53,""))</x:f>
      </x:c>
      <x:c r="D463" s="7"/>
      <x:c r="E463" s="10" t="n">
        <x:v>8</x:v>
      </x:c>
      <x:c r="F463" s="10"/>
      <x:c r="G463" s="10" t="str">
        <x:f>IF(F463="","",MIN(F463,E463))</x:f>
      </x:c>
      <x:c r="H463" s="10" t="str">
        <x:f>IF(F463="","",MAX(0,F463-E463))</x:f>
      </x:c>
      <x:c r="I463" s="24"/>
      <x:c r="J463" s="7"/>
      <x:c r="K463" s="8" t="str">
        <x:f>IF(A463="","",DATE(YEAR(A463),MONTH(A463),1))</x:f>
      </x:c>
    </x:row>
    <x:row r="464">
      <x:c r="A464" s="9"/>
      <x:c r="B464" s="7"/>
      <x:c r="C464" s="7" t="str">
        <x:f>IF(B464="","",XLOOKUP(B464,Employees!$A$4:$A$53,Employees!$B$4:$B$53,""))</x:f>
      </x:c>
      <x:c r="D464" s="7"/>
      <x:c r="E464" s="10" t="n">
        <x:v>8</x:v>
      </x:c>
      <x:c r="F464" s="10"/>
      <x:c r="G464" s="10" t="str">
        <x:f>IF(F464="","",MIN(F464,E464))</x:f>
      </x:c>
      <x:c r="H464" s="10" t="str">
        <x:f>IF(F464="","",MAX(0,F464-E464))</x:f>
      </x:c>
      <x:c r="I464" s="24"/>
      <x:c r="J464" s="7"/>
      <x:c r="K464" s="8" t="str">
        <x:f>IF(A464="","",DATE(YEAR(A464),MONTH(A464),1))</x:f>
      </x:c>
    </x:row>
    <x:row r="465">
      <x:c r="A465" s="9"/>
      <x:c r="B465" s="7"/>
      <x:c r="C465" s="7" t="str">
        <x:f>IF(B465="","",XLOOKUP(B465,Employees!$A$4:$A$53,Employees!$B$4:$B$53,""))</x:f>
      </x:c>
      <x:c r="D465" s="7"/>
      <x:c r="E465" s="10" t="n">
        <x:v>8</x:v>
      </x:c>
      <x:c r="F465" s="10"/>
      <x:c r="G465" s="10" t="str">
        <x:f>IF(F465="","",MIN(F465,E465))</x:f>
      </x:c>
      <x:c r="H465" s="10" t="str">
        <x:f>IF(F465="","",MAX(0,F465-E465))</x:f>
      </x:c>
      <x:c r="I465" s="24"/>
      <x:c r="J465" s="7"/>
      <x:c r="K465" s="8" t="str">
        <x:f>IF(A465="","",DATE(YEAR(A465),MONTH(A465),1))</x:f>
      </x:c>
    </x:row>
    <x:row r="466">
      <x:c r="A466" s="9"/>
      <x:c r="B466" s="7"/>
      <x:c r="C466" s="7" t="str">
        <x:f>IF(B466="","",XLOOKUP(B466,Employees!$A$4:$A$53,Employees!$B$4:$B$53,""))</x:f>
      </x:c>
      <x:c r="D466" s="7"/>
      <x:c r="E466" s="10" t="n">
        <x:v>8</x:v>
      </x:c>
      <x:c r="F466" s="10"/>
      <x:c r="G466" s="10" t="str">
        <x:f>IF(F466="","",MIN(F466,E466))</x:f>
      </x:c>
      <x:c r="H466" s="10" t="str">
        <x:f>IF(F466="","",MAX(0,F466-E466))</x:f>
      </x:c>
      <x:c r="I466" s="24"/>
      <x:c r="J466" s="7"/>
      <x:c r="K466" s="8" t="str">
        <x:f>IF(A466="","",DATE(YEAR(A466),MONTH(A466),1))</x:f>
      </x:c>
    </x:row>
    <x:row r="467">
      <x:c r="A467" s="9"/>
      <x:c r="B467" s="7"/>
      <x:c r="C467" s="7" t="str">
        <x:f>IF(B467="","",XLOOKUP(B467,Employees!$A$4:$A$53,Employees!$B$4:$B$53,""))</x:f>
      </x:c>
      <x:c r="D467" s="7"/>
      <x:c r="E467" s="10" t="n">
        <x:v>8</x:v>
      </x:c>
      <x:c r="F467" s="10"/>
      <x:c r="G467" s="10" t="str">
        <x:f>IF(F467="","",MIN(F467,E467))</x:f>
      </x:c>
      <x:c r="H467" s="10" t="str">
        <x:f>IF(F467="","",MAX(0,F467-E467))</x:f>
      </x:c>
      <x:c r="I467" s="24"/>
      <x:c r="J467" s="7"/>
      <x:c r="K467" s="8" t="str">
        <x:f>IF(A467="","",DATE(YEAR(A467),MONTH(A467),1))</x:f>
      </x:c>
    </x:row>
    <x:row r="468">
      <x:c r="A468" s="9"/>
      <x:c r="B468" s="7"/>
      <x:c r="C468" s="7" t="str">
        <x:f>IF(B468="","",XLOOKUP(B468,Employees!$A$4:$A$53,Employees!$B$4:$B$53,""))</x:f>
      </x:c>
      <x:c r="D468" s="7"/>
      <x:c r="E468" s="10" t="n">
        <x:v>8</x:v>
      </x:c>
      <x:c r="F468" s="10"/>
      <x:c r="G468" s="10" t="str">
        <x:f>IF(F468="","",MIN(F468,E468))</x:f>
      </x:c>
      <x:c r="H468" s="10" t="str">
        <x:f>IF(F468="","",MAX(0,F468-E468))</x:f>
      </x:c>
      <x:c r="I468" s="24"/>
      <x:c r="J468" s="7"/>
      <x:c r="K468" s="8" t="str">
        <x:f>IF(A468="","",DATE(YEAR(A468),MONTH(A468),1))</x:f>
      </x:c>
    </x:row>
    <x:row r="469">
      <x:c r="A469" s="9"/>
      <x:c r="B469" s="7"/>
      <x:c r="C469" s="7" t="str">
        <x:f>IF(B469="","",XLOOKUP(B469,Employees!$A$4:$A$53,Employees!$B$4:$B$53,""))</x:f>
      </x:c>
      <x:c r="D469" s="7"/>
      <x:c r="E469" s="10" t="n">
        <x:v>8</x:v>
      </x:c>
      <x:c r="F469" s="10"/>
      <x:c r="G469" s="10" t="str">
        <x:f>IF(F469="","",MIN(F469,E469))</x:f>
      </x:c>
      <x:c r="H469" s="10" t="str">
        <x:f>IF(F469="","",MAX(0,F469-E469))</x:f>
      </x:c>
      <x:c r="I469" s="24"/>
      <x:c r="J469" s="7"/>
      <x:c r="K469" s="8" t="str">
        <x:f>IF(A469="","",DATE(YEAR(A469),MONTH(A469),1))</x:f>
      </x:c>
    </x:row>
    <x:row r="470">
      <x:c r="A470" s="9"/>
      <x:c r="B470" s="7"/>
      <x:c r="C470" s="7" t="str">
        <x:f>IF(B470="","",XLOOKUP(B470,Employees!$A$4:$A$53,Employees!$B$4:$B$53,""))</x:f>
      </x:c>
      <x:c r="D470" s="7"/>
      <x:c r="E470" s="10" t="n">
        <x:v>8</x:v>
      </x:c>
      <x:c r="F470" s="10"/>
      <x:c r="G470" s="10" t="str">
        <x:f>IF(F470="","",MIN(F470,E470))</x:f>
      </x:c>
      <x:c r="H470" s="10" t="str">
        <x:f>IF(F470="","",MAX(0,F470-E470))</x:f>
      </x:c>
      <x:c r="I470" s="24"/>
      <x:c r="J470" s="7"/>
      <x:c r="K470" s="8" t="str">
        <x:f>IF(A470="","",DATE(YEAR(A470),MONTH(A470),1))</x:f>
      </x:c>
    </x:row>
    <x:row r="471">
      <x:c r="A471" s="9"/>
      <x:c r="B471" s="7"/>
      <x:c r="C471" s="7" t="str">
        <x:f>IF(B471="","",XLOOKUP(B471,Employees!$A$4:$A$53,Employees!$B$4:$B$53,""))</x:f>
      </x:c>
      <x:c r="D471" s="7"/>
      <x:c r="E471" s="10" t="n">
        <x:v>8</x:v>
      </x:c>
      <x:c r="F471" s="10"/>
      <x:c r="G471" s="10" t="str">
        <x:f>IF(F471="","",MIN(F471,E471))</x:f>
      </x:c>
      <x:c r="H471" s="10" t="str">
        <x:f>IF(F471="","",MAX(0,F471-E471))</x:f>
      </x:c>
      <x:c r="I471" s="24"/>
      <x:c r="J471" s="7"/>
      <x:c r="K471" s="8" t="str">
        <x:f>IF(A471="","",DATE(YEAR(A471),MONTH(A471),1))</x:f>
      </x:c>
    </x:row>
    <x:row r="472">
      <x:c r="A472" s="9"/>
      <x:c r="B472" s="7"/>
      <x:c r="C472" s="7" t="str">
        <x:f>IF(B472="","",XLOOKUP(B472,Employees!$A$4:$A$53,Employees!$B$4:$B$53,""))</x:f>
      </x:c>
      <x:c r="D472" s="7"/>
      <x:c r="E472" s="10" t="n">
        <x:v>8</x:v>
      </x:c>
      <x:c r="F472" s="10"/>
      <x:c r="G472" s="10" t="str">
        <x:f>IF(F472="","",MIN(F472,E472))</x:f>
      </x:c>
      <x:c r="H472" s="10" t="str">
        <x:f>IF(F472="","",MAX(0,F472-E472))</x:f>
      </x:c>
      <x:c r="I472" s="24"/>
      <x:c r="J472" s="7"/>
      <x:c r="K472" s="8" t="str">
        <x:f>IF(A472="","",DATE(YEAR(A472),MONTH(A472),1))</x:f>
      </x:c>
    </x:row>
    <x:row r="473">
      <x:c r="A473" s="9"/>
      <x:c r="B473" s="7"/>
      <x:c r="C473" s="7" t="str">
        <x:f>IF(B473="","",XLOOKUP(B473,Employees!$A$4:$A$53,Employees!$B$4:$B$53,""))</x:f>
      </x:c>
      <x:c r="D473" s="7"/>
      <x:c r="E473" s="10" t="n">
        <x:v>8</x:v>
      </x:c>
      <x:c r="F473" s="10"/>
      <x:c r="G473" s="10" t="str">
        <x:f>IF(F473="","",MIN(F473,E473))</x:f>
      </x:c>
      <x:c r="H473" s="10" t="str">
        <x:f>IF(F473="","",MAX(0,F473-E473))</x:f>
      </x:c>
      <x:c r="I473" s="24"/>
      <x:c r="J473" s="7"/>
      <x:c r="K473" s="8" t="str">
        <x:f>IF(A473="","",DATE(YEAR(A473),MONTH(A473),1))</x:f>
      </x:c>
    </x:row>
    <x:row r="474">
      <x:c r="A474" s="9"/>
      <x:c r="B474" s="7"/>
      <x:c r="C474" s="7" t="str">
        <x:f>IF(B474="","",XLOOKUP(B474,Employees!$A$4:$A$53,Employees!$B$4:$B$53,""))</x:f>
      </x:c>
      <x:c r="D474" s="7"/>
      <x:c r="E474" s="10" t="n">
        <x:v>8</x:v>
      </x:c>
      <x:c r="F474" s="10"/>
      <x:c r="G474" s="10" t="str">
        <x:f>IF(F474="","",MIN(F474,E474))</x:f>
      </x:c>
      <x:c r="H474" s="10" t="str">
        <x:f>IF(F474="","",MAX(0,F474-E474))</x:f>
      </x:c>
      <x:c r="I474" s="24"/>
      <x:c r="J474" s="7"/>
      <x:c r="K474" s="8" t="str">
        <x:f>IF(A474="","",DATE(YEAR(A474),MONTH(A474),1))</x:f>
      </x:c>
    </x:row>
    <x:row r="475">
      <x:c r="A475" s="9"/>
      <x:c r="B475" s="7"/>
      <x:c r="C475" s="7" t="str">
        <x:f>IF(B475="","",XLOOKUP(B475,Employees!$A$4:$A$53,Employees!$B$4:$B$53,""))</x:f>
      </x:c>
      <x:c r="D475" s="7"/>
      <x:c r="E475" s="10" t="n">
        <x:v>8</x:v>
      </x:c>
      <x:c r="F475" s="10"/>
      <x:c r="G475" s="10" t="str">
        <x:f>IF(F475="","",MIN(F475,E475))</x:f>
      </x:c>
      <x:c r="H475" s="10" t="str">
        <x:f>IF(F475="","",MAX(0,F475-E475))</x:f>
      </x:c>
      <x:c r="I475" s="24"/>
      <x:c r="J475" s="7"/>
      <x:c r="K475" s="8" t="str">
        <x:f>IF(A475="","",DATE(YEAR(A475),MONTH(A475),1))</x:f>
      </x:c>
    </x:row>
    <x:row r="476">
      <x:c r="A476" s="9"/>
      <x:c r="B476" s="7"/>
      <x:c r="C476" s="7" t="str">
        <x:f>IF(B476="","",XLOOKUP(B476,Employees!$A$4:$A$53,Employees!$B$4:$B$53,""))</x:f>
      </x:c>
      <x:c r="D476" s="7"/>
      <x:c r="E476" s="10" t="n">
        <x:v>8</x:v>
      </x:c>
      <x:c r="F476" s="10"/>
      <x:c r="G476" s="10" t="str">
        <x:f>IF(F476="","",MIN(F476,E476))</x:f>
      </x:c>
      <x:c r="H476" s="10" t="str">
        <x:f>IF(F476="","",MAX(0,F476-E476))</x:f>
      </x:c>
      <x:c r="I476" s="24"/>
      <x:c r="J476" s="7"/>
      <x:c r="K476" s="8" t="str">
        <x:f>IF(A476="","",DATE(YEAR(A476),MONTH(A476),1))</x:f>
      </x:c>
    </x:row>
    <x:row r="477">
      <x:c r="A477" s="9"/>
      <x:c r="B477" s="7"/>
      <x:c r="C477" s="7" t="str">
        <x:f>IF(B477="","",XLOOKUP(B477,Employees!$A$4:$A$53,Employees!$B$4:$B$53,""))</x:f>
      </x:c>
      <x:c r="D477" s="7"/>
      <x:c r="E477" s="10" t="n">
        <x:v>8</x:v>
      </x:c>
      <x:c r="F477" s="10"/>
      <x:c r="G477" s="10" t="str">
        <x:f>IF(F477="","",MIN(F477,E477))</x:f>
      </x:c>
      <x:c r="H477" s="10" t="str">
        <x:f>IF(F477="","",MAX(0,F477-E477))</x:f>
      </x:c>
      <x:c r="I477" s="24"/>
      <x:c r="J477" s="7"/>
      <x:c r="K477" s="8" t="str">
        <x:f>IF(A477="","",DATE(YEAR(A477),MONTH(A477),1))</x:f>
      </x:c>
    </x:row>
    <x:row r="478">
      <x:c r="A478" s="9"/>
      <x:c r="B478" s="7"/>
      <x:c r="C478" s="7" t="str">
        <x:f>IF(B478="","",XLOOKUP(B478,Employees!$A$4:$A$53,Employees!$B$4:$B$53,""))</x:f>
      </x:c>
      <x:c r="D478" s="7"/>
      <x:c r="E478" s="10" t="n">
        <x:v>8</x:v>
      </x:c>
      <x:c r="F478" s="10"/>
      <x:c r="G478" s="10" t="str">
        <x:f>IF(F478="","",MIN(F478,E478))</x:f>
      </x:c>
      <x:c r="H478" s="10" t="str">
        <x:f>IF(F478="","",MAX(0,F478-E478))</x:f>
      </x:c>
      <x:c r="I478" s="24"/>
      <x:c r="J478" s="7"/>
      <x:c r="K478" s="8" t="str">
        <x:f>IF(A478="","",DATE(YEAR(A478),MONTH(A478),1))</x:f>
      </x:c>
    </x:row>
    <x:row r="479">
      <x:c r="A479" s="9"/>
      <x:c r="B479" s="7"/>
      <x:c r="C479" s="7" t="str">
        <x:f>IF(B479="","",XLOOKUP(B479,Employees!$A$4:$A$53,Employees!$B$4:$B$53,""))</x:f>
      </x:c>
      <x:c r="D479" s="7"/>
      <x:c r="E479" s="10" t="n">
        <x:v>8</x:v>
      </x:c>
      <x:c r="F479" s="10"/>
      <x:c r="G479" s="10" t="str">
        <x:f>IF(F479="","",MIN(F479,E479))</x:f>
      </x:c>
      <x:c r="H479" s="10" t="str">
        <x:f>IF(F479="","",MAX(0,F479-E479))</x:f>
      </x:c>
      <x:c r="I479" s="24"/>
      <x:c r="J479" s="7"/>
      <x:c r="K479" s="8" t="str">
        <x:f>IF(A479="","",DATE(YEAR(A479),MONTH(A479),1))</x:f>
      </x:c>
    </x:row>
    <x:row r="480">
      <x:c r="A480" s="9"/>
      <x:c r="B480" s="7"/>
      <x:c r="C480" s="7" t="str">
        <x:f>IF(B480="","",XLOOKUP(B480,Employees!$A$4:$A$53,Employees!$B$4:$B$53,""))</x:f>
      </x:c>
      <x:c r="D480" s="7"/>
      <x:c r="E480" s="10" t="n">
        <x:v>8</x:v>
      </x:c>
      <x:c r="F480" s="10"/>
      <x:c r="G480" s="10" t="str">
        <x:f>IF(F480="","",MIN(F480,E480))</x:f>
      </x:c>
      <x:c r="H480" s="10" t="str">
        <x:f>IF(F480="","",MAX(0,F480-E480))</x:f>
      </x:c>
      <x:c r="I480" s="24"/>
      <x:c r="J480" s="7"/>
      <x:c r="K480" s="8" t="str">
        <x:f>IF(A480="","",DATE(YEAR(A480),MONTH(A480),1))</x:f>
      </x:c>
    </x:row>
    <x:row r="481">
      <x:c r="A481" s="9"/>
      <x:c r="B481" s="7"/>
      <x:c r="C481" s="7" t="str">
        <x:f>IF(B481="","",XLOOKUP(B481,Employees!$A$4:$A$53,Employees!$B$4:$B$53,""))</x:f>
      </x:c>
      <x:c r="D481" s="7"/>
      <x:c r="E481" s="10" t="n">
        <x:v>8</x:v>
      </x:c>
      <x:c r="F481" s="10"/>
      <x:c r="G481" s="10" t="str">
        <x:f>IF(F481="","",MIN(F481,E481))</x:f>
      </x:c>
      <x:c r="H481" s="10" t="str">
        <x:f>IF(F481="","",MAX(0,F481-E481))</x:f>
      </x:c>
      <x:c r="I481" s="24"/>
      <x:c r="J481" s="7"/>
      <x:c r="K481" s="8" t="str">
        <x:f>IF(A481="","",DATE(YEAR(A481),MONTH(A481),1))</x:f>
      </x:c>
    </x:row>
    <x:row r="482">
      <x:c r="A482" s="9"/>
      <x:c r="B482" s="7"/>
      <x:c r="C482" s="7" t="str">
        <x:f>IF(B482="","",XLOOKUP(B482,Employees!$A$4:$A$53,Employees!$B$4:$B$53,""))</x:f>
      </x:c>
      <x:c r="D482" s="7"/>
      <x:c r="E482" s="10" t="n">
        <x:v>8</x:v>
      </x:c>
      <x:c r="F482" s="10"/>
      <x:c r="G482" s="10" t="str">
        <x:f>IF(F482="","",MIN(F482,E482))</x:f>
      </x:c>
      <x:c r="H482" s="10" t="str">
        <x:f>IF(F482="","",MAX(0,F482-E482))</x:f>
      </x:c>
      <x:c r="I482" s="24"/>
      <x:c r="J482" s="7"/>
      <x:c r="K482" s="8" t="str">
        <x:f>IF(A482="","",DATE(YEAR(A482),MONTH(A482),1))</x:f>
      </x:c>
    </x:row>
    <x:row r="483">
      <x:c r="A483" s="9"/>
      <x:c r="B483" s="7"/>
      <x:c r="C483" s="7" t="str">
        <x:f>IF(B483="","",XLOOKUP(B483,Employees!$A$4:$A$53,Employees!$B$4:$B$53,""))</x:f>
      </x:c>
      <x:c r="D483" s="7"/>
      <x:c r="E483" s="10" t="n">
        <x:v>8</x:v>
      </x:c>
      <x:c r="F483" s="10"/>
      <x:c r="G483" s="10" t="str">
        <x:f>IF(F483="","",MIN(F483,E483))</x:f>
      </x:c>
      <x:c r="H483" s="10" t="str">
        <x:f>IF(F483="","",MAX(0,F483-E483))</x:f>
      </x:c>
      <x:c r="I483" s="24"/>
      <x:c r="J483" s="7"/>
      <x:c r="K483" s="8" t="str">
        <x:f>IF(A483="","",DATE(YEAR(A483),MONTH(A483),1))</x:f>
      </x:c>
    </x:row>
    <x:row r="484">
      <x:c r="A484" s="9"/>
      <x:c r="B484" s="7"/>
      <x:c r="C484" s="7" t="str">
        <x:f>IF(B484="","",XLOOKUP(B484,Employees!$A$4:$A$53,Employees!$B$4:$B$53,""))</x:f>
      </x:c>
      <x:c r="D484" s="7"/>
      <x:c r="E484" s="10" t="n">
        <x:v>8</x:v>
      </x:c>
      <x:c r="F484" s="10"/>
      <x:c r="G484" s="10" t="str">
        <x:f>IF(F484="","",MIN(F484,E484))</x:f>
      </x:c>
      <x:c r="H484" s="10" t="str">
        <x:f>IF(F484="","",MAX(0,F484-E484))</x:f>
      </x:c>
      <x:c r="I484" s="24"/>
      <x:c r="J484" s="7"/>
      <x:c r="K484" s="8" t="str">
        <x:f>IF(A484="","",DATE(YEAR(A484),MONTH(A484),1))</x:f>
      </x:c>
    </x:row>
    <x:row r="485">
      <x:c r="A485" s="9"/>
      <x:c r="B485" s="7"/>
      <x:c r="C485" s="7" t="str">
        <x:f>IF(B485="","",XLOOKUP(B485,Employees!$A$4:$A$53,Employees!$B$4:$B$53,""))</x:f>
      </x:c>
      <x:c r="D485" s="7"/>
      <x:c r="E485" s="10" t="n">
        <x:v>8</x:v>
      </x:c>
      <x:c r="F485" s="10"/>
      <x:c r="G485" s="10" t="str">
        <x:f>IF(F485="","",MIN(F485,E485))</x:f>
      </x:c>
      <x:c r="H485" s="10" t="str">
        <x:f>IF(F485="","",MAX(0,F485-E485))</x:f>
      </x:c>
      <x:c r="I485" s="24"/>
      <x:c r="J485" s="7"/>
      <x:c r="K485" s="8" t="str">
        <x:f>IF(A485="","",DATE(YEAR(A485),MONTH(A485),1))</x:f>
      </x:c>
    </x:row>
    <x:row r="486">
      <x:c r="A486" s="9"/>
      <x:c r="B486" s="7"/>
      <x:c r="C486" s="7" t="str">
        <x:f>IF(B486="","",XLOOKUP(B486,Employees!$A$4:$A$53,Employees!$B$4:$B$53,""))</x:f>
      </x:c>
      <x:c r="D486" s="7"/>
      <x:c r="E486" s="10" t="n">
        <x:v>8</x:v>
      </x:c>
      <x:c r="F486" s="10"/>
      <x:c r="G486" s="10" t="str">
        <x:f>IF(F486="","",MIN(F486,E486))</x:f>
      </x:c>
      <x:c r="H486" s="10" t="str">
        <x:f>IF(F486="","",MAX(0,F486-E486))</x:f>
      </x:c>
      <x:c r="I486" s="24"/>
      <x:c r="J486" s="7"/>
      <x:c r="K486" s="8" t="str">
        <x:f>IF(A486="","",DATE(YEAR(A486),MONTH(A486),1))</x:f>
      </x:c>
    </x:row>
    <x:row r="487">
      <x:c r="A487" s="9"/>
      <x:c r="B487" s="7"/>
      <x:c r="C487" s="7" t="str">
        <x:f>IF(B487="","",XLOOKUP(B487,Employees!$A$4:$A$53,Employees!$B$4:$B$53,""))</x:f>
      </x:c>
      <x:c r="D487" s="7"/>
      <x:c r="E487" s="10" t="n">
        <x:v>8</x:v>
      </x:c>
      <x:c r="F487" s="10"/>
      <x:c r="G487" s="10" t="str">
        <x:f>IF(F487="","",MIN(F487,E487))</x:f>
      </x:c>
      <x:c r="H487" s="10" t="str">
        <x:f>IF(F487="","",MAX(0,F487-E487))</x:f>
      </x:c>
      <x:c r="I487" s="24"/>
      <x:c r="J487" s="7"/>
      <x:c r="K487" s="8" t="str">
        <x:f>IF(A487="","",DATE(YEAR(A487),MONTH(A487),1))</x:f>
      </x:c>
    </x:row>
    <x:row r="488">
      <x:c r="A488" s="9"/>
      <x:c r="B488" s="7"/>
      <x:c r="C488" s="7" t="str">
        <x:f>IF(B488="","",XLOOKUP(B488,Employees!$A$4:$A$53,Employees!$B$4:$B$53,""))</x:f>
      </x:c>
      <x:c r="D488" s="7"/>
      <x:c r="E488" s="10" t="n">
        <x:v>8</x:v>
      </x:c>
      <x:c r="F488" s="10"/>
      <x:c r="G488" s="10" t="str">
        <x:f>IF(F488="","",MIN(F488,E488))</x:f>
      </x:c>
      <x:c r="H488" s="10" t="str">
        <x:f>IF(F488="","",MAX(0,F488-E488))</x:f>
      </x:c>
      <x:c r="I488" s="24"/>
      <x:c r="J488" s="7"/>
      <x:c r="K488" s="8" t="str">
        <x:f>IF(A488="","",DATE(YEAR(A488),MONTH(A488),1))</x:f>
      </x:c>
    </x:row>
    <x:row r="489">
      <x:c r="A489" s="9"/>
      <x:c r="B489" s="7"/>
      <x:c r="C489" s="7" t="str">
        <x:f>IF(B489="","",XLOOKUP(B489,Employees!$A$4:$A$53,Employees!$B$4:$B$53,""))</x:f>
      </x:c>
      <x:c r="D489" s="7"/>
      <x:c r="E489" s="10" t="n">
        <x:v>8</x:v>
      </x:c>
      <x:c r="F489" s="10"/>
      <x:c r="G489" s="10" t="str">
        <x:f>IF(F489="","",MIN(F489,E489))</x:f>
      </x:c>
      <x:c r="H489" s="10" t="str">
        <x:f>IF(F489="","",MAX(0,F489-E489))</x:f>
      </x:c>
      <x:c r="I489" s="24"/>
      <x:c r="J489" s="7"/>
      <x:c r="K489" s="8" t="str">
        <x:f>IF(A489="","",DATE(YEAR(A489),MONTH(A489),1))</x:f>
      </x:c>
    </x:row>
    <x:row r="490">
      <x:c r="A490" s="9"/>
      <x:c r="B490" s="7"/>
      <x:c r="C490" s="7" t="str">
        <x:f>IF(B490="","",XLOOKUP(B490,Employees!$A$4:$A$53,Employees!$B$4:$B$53,""))</x:f>
      </x:c>
      <x:c r="D490" s="7"/>
      <x:c r="E490" s="10" t="n">
        <x:v>8</x:v>
      </x:c>
      <x:c r="F490" s="10"/>
      <x:c r="G490" s="10" t="str">
        <x:f>IF(F490="","",MIN(F490,E490))</x:f>
      </x:c>
      <x:c r="H490" s="10" t="str">
        <x:f>IF(F490="","",MAX(0,F490-E490))</x:f>
      </x:c>
      <x:c r="I490" s="24"/>
      <x:c r="J490" s="7"/>
      <x:c r="K490" s="8" t="str">
        <x:f>IF(A490="","",DATE(YEAR(A490),MONTH(A490),1))</x:f>
      </x:c>
    </x:row>
    <x:row r="491">
      <x:c r="A491" s="9"/>
      <x:c r="B491" s="7"/>
      <x:c r="C491" s="7" t="str">
        <x:f>IF(B491="","",XLOOKUP(B491,Employees!$A$4:$A$53,Employees!$B$4:$B$53,""))</x:f>
      </x:c>
      <x:c r="D491" s="7"/>
      <x:c r="E491" s="10" t="n">
        <x:v>8</x:v>
      </x:c>
      <x:c r="F491" s="10"/>
      <x:c r="G491" s="10" t="str">
        <x:f>IF(F491="","",MIN(F491,E491))</x:f>
      </x:c>
      <x:c r="H491" s="10" t="str">
        <x:f>IF(F491="","",MAX(0,F491-E491))</x:f>
      </x:c>
      <x:c r="I491" s="24"/>
      <x:c r="J491" s="7"/>
      <x:c r="K491" s="8" t="str">
        <x:f>IF(A491="","",DATE(YEAR(A491),MONTH(A491),1))</x:f>
      </x:c>
    </x:row>
    <x:row r="492">
      <x:c r="A492" s="9"/>
      <x:c r="B492" s="7"/>
      <x:c r="C492" s="7" t="str">
        <x:f>IF(B492="","",XLOOKUP(B492,Employees!$A$4:$A$53,Employees!$B$4:$B$53,""))</x:f>
      </x:c>
      <x:c r="D492" s="7"/>
      <x:c r="E492" s="10" t="n">
        <x:v>8</x:v>
      </x:c>
      <x:c r="F492" s="10"/>
      <x:c r="G492" s="10" t="str">
        <x:f>IF(F492="","",MIN(F492,E492))</x:f>
      </x:c>
      <x:c r="H492" s="10" t="str">
        <x:f>IF(F492="","",MAX(0,F492-E492))</x:f>
      </x:c>
      <x:c r="I492" s="24"/>
      <x:c r="J492" s="7"/>
      <x:c r="K492" s="8" t="str">
        <x:f>IF(A492="","",DATE(YEAR(A492),MONTH(A492),1))</x:f>
      </x:c>
    </x:row>
    <x:row r="493">
      <x:c r="A493" s="9"/>
      <x:c r="B493" s="7"/>
      <x:c r="C493" s="7" t="str">
        <x:f>IF(B493="","",XLOOKUP(B493,Employees!$A$4:$A$53,Employees!$B$4:$B$53,""))</x:f>
      </x:c>
      <x:c r="D493" s="7"/>
      <x:c r="E493" s="10" t="n">
        <x:v>8</x:v>
      </x:c>
      <x:c r="F493" s="10"/>
      <x:c r="G493" s="10" t="str">
        <x:f>IF(F493="","",MIN(F493,E493))</x:f>
      </x:c>
      <x:c r="H493" s="10" t="str">
        <x:f>IF(F493="","",MAX(0,F493-E493))</x:f>
      </x:c>
      <x:c r="I493" s="24"/>
      <x:c r="J493" s="7"/>
      <x:c r="K493" s="8" t="str">
        <x:f>IF(A493="","",DATE(YEAR(A493),MONTH(A493),1))</x:f>
      </x:c>
    </x:row>
    <x:row r="494">
      <x:c r="A494" s="9"/>
      <x:c r="B494" s="7"/>
      <x:c r="C494" s="7" t="str">
        <x:f>IF(B494="","",XLOOKUP(B494,Employees!$A$4:$A$53,Employees!$B$4:$B$53,""))</x:f>
      </x:c>
      <x:c r="D494" s="7"/>
      <x:c r="E494" s="10" t="n">
        <x:v>8</x:v>
      </x:c>
      <x:c r="F494" s="10"/>
      <x:c r="G494" s="10" t="str">
        <x:f>IF(F494="","",MIN(F494,E494))</x:f>
      </x:c>
      <x:c r="H494" s="10" t="str">
        <x:f>IF(F494="","",MAX(0,F494-E494))</x:f>
      </x:c>
      <x:c r="I494" s="24"/>
      <x:c r="J494" s="7"/>
      <x:c r="K494" s="8" t="str">
        <x:f>IF(A494="","",DATE(YEAR(A494),MONTH(A494),1))</x:f>
      </x:c>
    </x:row>
    <x:row r="495">
      <x:c r="A495" s="9"/>
      <x:c r="B495" s="7"/>
      <x:c r="C495" s="7" t="str">
        <x:f>IF(B495="","",XLOOKUP(B495,Employees!$A$4:$A$53,Employees!$B$4:$B$53,""))</x:f>
      </x:c>
      <x:c r="D495" s="7"/>
      <x:c r="E495" s="10" t="n">
        <x:v>8</x:v>
      </x:c>
      <x:c r="F495" s="10"/>
      <x:c r="G495" s="10" t="str">
        <x:f>IF(F495="","",MIN(F495,E495))</x:f>
      </x:c>
      <x:c r="H495" s="10" t="str">
        <x:f>IF(F495="","",MAX(0,F495-E495))</x:f>
      </x:c>
      <x:c r="I495" s="24"/>
      <x:c r="J495" s="7"/>
      <x:c r="K495" s="8" t="str">
        <x:f>IF(A495="","",DATE(YEAR(A495),MONTH(A495),1))</x:f>
      </x:c>
    </x:row>
    <x:row r="496">
      <x:c r="A496" s="9"/>
      <x:c r="B496" s="7"/>
      <x:c r="C496" s="7" t="str">
        <x:f>IF(B496="","",XLOOKUP(B496,Employees!$A$4:$A$53,Employees!$B$4:$B$53,""))</x:f>
      </x:c>
      <x:c r="D496" s="7"/>
      <x:c r="E496" s="10" t="n">
        <x:v>8</x:v>
      </x:c>
      <x:c r="F496" s="10"/>
      <x:c r="G496" s="10" t="str">
        <x:f>IF(F496="","",MIN(F496,E496))</x:f>
      </x:c>
      <x:c r="H496" s="10" t="str">
        <x:f>IF(F496="","",MAX(0,F496-E496))</x:f>
      </x:c>
      <x:c r="I496" s="24"/>
      <x:c r="J496" s="7"/>
      <x:c r="K496" s="8" t="str">
        <x:f>IF(A496="","",DATE(YEAR(A496),MONTH(A496),1))</x:f>
      </x:c>
    </x:row>
    <x:row r="497">
      <x:c r="A497" s="9"/>
      <x:c r="B497" s="7"/>
      <x:c r="C497" s="7" t="str">
        <x:f>IF(B497="","",XLOOKUP(B497,Employees!$A$4:$A$53,Employees!$B$4:$B$53,""))</x:f>
      </x:c>
      <x:c r="D497" s="7"/>
      <x:c r="E497" s="10" t="n">
        <x:v>8</x:v>
      </x:c>
      <x:c r="F497" s="10"/>
      <x:c r="G497" s="10" t="str">
        <x:f>IF(F497="","",MIN(F497,E497))</x:f>
      </x:c>
      <x:c r="H497" s="10" t="str">
        <x:f>IF(F497="","",MAX(0,F497-E497))</x:f>
      </x:c>
      <x:c r="I497" s="24"/>
      <x:c r="J497" s="7"/>
      <x:c r="K497" s="8" t="str">
        <x:f>IF(A497="","",DATE(YEAR(A497),MONTH(A497),1))</x:f>
      </x:c>
    </x:row>
    <x:row r="498">
      <x:c r="A498" s="9"/>
      <x:c r="B498" s="7"/>
      <x:c r="C498" s="7" t="str">
        <x:f>IF(B498="","",XLOOKUP(B498,Employees!$A$4:$A$53,Employees!$B$4:$B$53,""))</x:f>
      </x:c>
      <x:c r="D498" s="7"/>
      <x:c r="E498" s="10" t="n">
        <x:v>8</x:v>
      </x:c>
      <x:c r="F498" s="10"/>
      <x:c r="G498" s="10" t="str">
        <x:f>IF(F498="","",MIN(F498,E498))</x:f>
      </x:c>
      <x:c r="H498" s="10" t="str">
        <x:f>IF(F498="","",MAX(0,F498-E498))</x:f>
      </x:c>
      <x:c r="I498" s="24"/>
      <x:c r="J498" s="7"/>
      <x:c r="K498" s="8" t="str">
        <x:f>IF(A498="","",DATE(YEAR(A498),MONTH(A498),1))</x:f>
      </x:c>
    </x:row>
    <x:row r="499">
      <x:c r="A499" s="9"/>
      <x:c r="B499" s="7"/>
      <x:c r="C499" s="7" t="str">
        <x:f>IF(B499="","",XLOOKUP(B499,Employees!$A$4:$A$53,Employees!$B$4:$B$53,""))</x:f>
      </x:c>
      <x:c r="D499" s="7"/>
      <x:c r="E499" s="10" t="n">
        <x:v>8</x:v>
      </x:c>
      <x:c r="F499" s="10"/>
      <x:c r="G499" s="10" t="str">
        <x:f>IF(F499="","",MIN(F499,E499))</x:f>
      </x:c>
      <x:c r="H499" s="10" t="str">
        <x:f>IF(F499="","",MAX(0,F499-E499))</x:f>
      </x:c>
      <x:c r="I499" s="24"/>
      <x:c r="J499" s="7"/>
      <x:c r="K499" s="8" t="str">
        <x:f>IF(A499="","",DATE(YEAR(A499),MONTH(A499),1))</x:f>
      </x:c>
    </x:row>
    <x:row r="500">
      <x:c r="A500" s="9"/>
      <x:c r="B500" s="7"/>
      <x:c r="C500" s="7" t="str">
        <x:f>IF(B500="","",XLOOKUP(B500,Employees!$A$4:$A$53,Employees!$B$4:$B$53,""))</x:f>
      </x:c>
      <x:c r="D500" s="7"/>
      <x:c r="E500" s="10" t="n">
        <x:v>8</x:v>
      </x:c>
      <x:c r="F500" s="10"/>
      <x:c r="G500" s="10" t="str">
        <x:f>IF(F500="","",MIN(F500,E500))</x:f>
      </x:c>
      <x:c r="H500" s="10" t="str">
        <x:f>IF(F500="","",MAX(0,F500-E500))</x:f>
      </x:c>
      <x:c r="I500" s="24"/>
      <x:c r="J500" s="7"/>
      <x:c r="K500" s="8" t="str">
        <x:f>IF(A500="","",DATE(YEAR(A500),MONTH(A500),1))</x:f>
      </x:c>
    </x:row>
    <x:row r="501">
      <x:c r="A501" s="9"/>
      <x:c r="B501" s="7"/>
      <x:c r="C501" s="7" t="str">
        <x:f>IF(B501="","",XLOOKUP(B501,Employees!$A$4:$A$53,Employees!$B$4:$B$53,""))</x:f>
      </x:c>
      <x:c r="D501" s="7"/>
      <x:c r="E501" s="10" t="n">
        <x:v>8</x:v>
      </x:c>
      <x:c r="F501" s="10"/>
      <x:c r="G501" s="10" t="str">
        <x:f>IF(F501="","",MIN(F501,E501))</x:f>
      </x:c>
      <x:c r="H501" s="10" t="str">
        <x:f>IF(F501="","",MAX(0,F501-E501))</x:f>
      </x:c>
      <x:c r="I501" s="24"/>
      <x:c r="J501" s="7"/>
      <x:c r="K501" s="8" t="str">
        <x:f>IF(A501="","",DATE(YEAR(A501),MONTH(A501),1))</x:f>
      </x:c>
    </x:row>
    <x:row r="502">
      <x:c r="A502" s="9"/>
      <x:c r="B502" s="7"/>
      <x:c r="C502" s="7" t="str">
        <x:f>IF(B502="","",XLOOKUP(B502,Employees!$A$4:$A$53,Employees!$B$4:$B$53,""))</x:f>
      </x:c>
      <x:c r="D502" s="7"/>
      <x:c r="E502" s="10" t="n">
        <x:v>8</x:v>
      </x:c>
      <x:c r="F502" s="10"/>
      <x:c r="G502" s="10" t="str">
        <x:f>IF(F502="","",MIN(F502,E502))</x:f>
      </x:c>
      <x:c r="H502" s="10" t="str">
        <x:f>IF(F502="","",MAX(0,F502-E502))</x:f>
      </x:c>
      <x:c r="I502" s="24"/>
      <x:c r="J502" s="7"/>
      <x:c r="K502" s="8" t="str">
        <x:f>IF(A502="","",DATE(YEAR(A502),MONTH(A502),1))</x:f>
      </x:c>
    </x:row>
    <x:row r="503">
      <x:c r="A503" s="9"/>
      <x:c r="B503" s="7"/>
      <x:c r="C503" s="7" t="str">
        <x:f>IF(B503="","",XLOOKUP(B503,Employees!$A$4:$A$53,Employees!$B$4:$B$53,""))</x:f>
      </x:c>
      <x:c r="D503" s="7"/>
      <x:c r="E503" s="10" t="n">
        <x:v>8</x:v>
      </x:c>
      <x:c r="F503" s="10"/>
      <x:c r="G503" s="10" t="str">
        <x:f>IF(F503="","",MIN(F503,E503))</x:f>
      </x:c>
      <x:c r="H503" s="10" t="str">
        <x:f>IF(F503="","",MAX(0,F503-E503))</x:f>
      </x:c>
      <x:c r="I503" s="24"/>
      <x:c r="J503" s="7"/>
      <x:c r="K503" s="8" t="str">
        <x:f>IF(A503="","",DATE(YEAR(A503),MONTH(A503),1))</x:f>
      </x:c>
    </x:row>
    <x:row r="504">
      <x:c r="A504" s="9"/>
      <x:c r="B504" s="7"/>
      <x:c r="C504" s="7" t="str">
        <x:f>IF(B504="","",XLOOKUP(B504,Employees!$A$4:$A$53,Employees!$B$4:$B$53,""))</x:f>
      </x:c>
      <x:c r="D504" s="7"/>
      <x:c r="E504" s="10" t="n">
        <x:v>8</x:v>
      </x:c>
      <x:c r="F504" s="10"/>
      <x:c r="G504" s="10" t="str">
        <x:f>IF(F504="","",MIN(F504,E504))</x:f>
      </x:c>
      <x:c r="H504" s="10" t="str">
        <x:f>IF(F504="","",MAX(0,F504-E504))</x:f>
      </x:c>
      <x:c r="I504" s="24"/>
      <x:c r="J504" s="7"/>
      <x:c r="K504" s="8" t="str">
        <x:f>IF(A504="","",DATE(YEAR(A504),MONTH(A504),1))</x:f>
      </x:c>
    </x:row>
    <x:row r="505">
      <x:c r="A505" s="9"/>
      <x:c r="B505" s="7"/>
      <x:c r="C505" s="7" t="str">
        <x:f>IF(B505="","",XLOOKUP(B505,Employees!$A$4:$A$53,Employees!$B$4:$B$53,""))</x:f>
      </x:c>
      <x:c r="D505" s="7"/>
      <x:c r="E505" s="10" t="n">
        <x:v>8</x:v>
      </x:c>
      <x:c r="F505" s="10"/>
      <x:c r="G505" s="10" t="str">
        <x:f>IF(F505="","",MIN(F505,E505))</x:f>
      </x:c>
      <x:c r="H505" s="10" t="str">
        <x:f>IF(F505="","",MAX(0,F505-E505))</x:f>
      </x:c>
      <x:c r="I505" s="24"/>
      <x:c r="J505" s="7"/>
      <x:c r="K505" s="8" t="str">
        <x:f>IF(A505="","",DATE(YEAR(A505),MONTH(A505),1))</x:f>
      </x:c>
    </x:row>
    <x:row r="506">
      <x:c r="A506" s="9"/>
      <x:c r="B506" s="7"/>
      <x:c r="C506" s="7" t="str">
        <x:f>IF(B506="","",XLOOKUP(B506,Employees!$A$4:$A$53,Employees!$B$4:$B$53,""))</x:f>
      </x:c>
      <x:c r="D506" s="7"/>
      <x:c r="E506" s="10" t="n">
        <x:v>8</x:v>
      </x:c>
      <x:c r="F506" s="10"/>
      <x:c r="G506" s="10" t="str">
        <x:f>IF(F506="","",MIN(F506,E506))</x:f>
      </x:c>
      <x:c r="H506" s="10" t="str">
        <x:f>IF(F506="","",MAX(0,F506-E506))</x:f>
      </x:c>
      <x:c r="I506" s="24"/>
      <x:c r="J506" s="7"/>
      <x:c r="K506" s="8" t="str">
        <x:f>IF(A506="","",DATE(YEAR(A506),MONTH(A506),1))</x:f>
      </x:c>
    </x:row>
    <x:row r="507">
      <x:c r="A507" s="9"/>
      <x:c r="B507" s="7"/>
      <x:c r="C507" s="7" t="str">
        <x:f>IF(B507="","",XLOOKUP(B507,Employees!$A$4:$A$53,Employees!$B$4:$B$53,""))</x:f>
      </x:c>
      <x:c r="D507" s="7"/>
      <x:c r="E507" s="10" t="n">
        <x:v>8</x:v>
      </x:c>
      <x:c r="F507" s="10"/>
      <x:c r="G507" s="10" t="str">
        <x:f>IF(F507="","",MIN(F507,E507))</x:f>
      </x:c>
      <x:c r="H507" s="10" t="str">
        <x:f>IF(F507="","",MAX(0,F507-E507))</x:f>
      </x:c>
      <x:c r="I507" s="24"/>
      <x:c r="J507" s="7"/>
      <x:c r="K507" s="8" t="str">
        <x:f>IF(A507="","",DATE(YEAR(A507),MONTH(A507),1))</x:f>
      </x:c>
    </x:row>
    <x:row r="508">
      <x:c r="A508" s="9"/>
      <x:c r="B508" s="7"/>
      <x:c r="C508" s="7" t="str">
        <x:f>IF(B508="","",XLOOKUP(B508,Employees!$A$4:$A$53,Employees!$B$4:$B$53,""))</x:f>
      </x:c>
      <x:c r="D508" s="7"/>
      <x:c r="E508" s="10" t="n">
        <x:v>8</x:v>
      </x:c>
      <x:c r="F508" s="10"/>
      <x:c r="G508" s="10" t="str">
        <x:f>IF(F508="","",MIN(F508,E508))</x:f>
      </x:c>
      <x:c r="H508" s="10" t="str">
        <x:f>IF(F508="","",MAX(0,F508-E508))</x:f>
      </x:c>
      <x:c r="I508" s="24"/>
      <x:c r="J508" s="7"/>
      <x:c r="K508" s="8" t="str">
        <x:f>IF(A508="","",DATE(YEAR(A508),MONTH(A508),1))</x:f>
      </x:c>
    </x:row>
    <x:row r="509">
      <x:c r="A509" s="9"/>
      <x:c r="B509" s="7"/>
      <x:c r="C509" s="7" t="str">
        <x:f>IF(B509="","",XLOOKUP(B509,Employees!$A$4:$A$53,Employees!$B$4:$B$53,""))</x:f>
      </x:c>
      <x:c r="D509" s="7"/>
      <x:c r="E509" s="10" t="n">
        <x:v>8</x:v>
      </x:c>
      <x:c r="F509" s="10"/>
      <x:c r="G509" s="10" t="str">
        <x:f>IF(F509="","",MIN(F509,E509))</x:f>
      </x:c>
      <x:c r="H509" s="10" t="str">
        <x:f>IF(F509="","",MAX(0,F509-E509))</x:f>
      </x:c>
      <x:c r="I509" s="24"/>
      <x:c r="J509" s="7"/>
      <x:c r="K509" s="8" t="str">
        <x:f>IF(A509="","",DATE(YEAR(A509),MONTH(A509),1))</x:f>
      </x:c>
    </x:row>
    <x:row r="510">
      <x:c r="A510" s="9"/>
      <x:c r="B510" s="7"/>
      <x:c r="C510" s="7" t="str">
        <x:f>IF(B510="","",XLOOKUP(B510,Employees!$A$4:$A$53,Employees!$B$4:$B$53,""))</x:f>
      </x:c>
      <x:c r="D510" s="7"/>
      <x:c r="E510" s="10" t="n">
        <x:v>8</x:v>
      </x:c>
      <x:c r="F510" s="10"/>
      <x:c r="G510" s="10" t="str">
        <x:f>IF(F510="","",MIN(F510,E510))</x:f>
      </x:c>
      <x:c r="H510" s="10" t="str">
        <x:f>IF(F510="","",MAX(0,F510-E510))</x:f>
      </x:c>
      <x:c r="I510" s="24"/>
      <x:c r="J510" s="7"/>
      <x:c r="K510" s="8" t="str">
        <x:f>IF(A510="","",DATE(YEAR(A510),MONTH(A510),1))</x:f>
      </x:c>
    </x:row>
    <x:row r="511">
      <x:c r="A511" s="9"/>
      <x:c r="B511" s="7"/>
      <x:c r="C511" s="7" t="str">
        <x:f>IF(B511="","",XLOOKUP(B511,Employees!$A$4:$A$53,Employees!$B$4:$B$53,""))</x:f>
      </x:c>
      <x:c r="D511" s="7"/>
      <x:c r="E511" s="10" t="n">
        <x:v>8</x:v>
      </x:c>
      <x:c r="F511" s="10"/>
      <x:c r="G511" s="10" t="str">
        <x:f>IF(F511="","",MIN(F511,E511))</x:f>
      </x:c>
      <x:c r="H511" s="10" t="str">
        <x:f>IF(F511="","",MAX(0,F511-E511))</x:f>
      </x:c>
      <x:c r="I511" s="24"/>
      <x:c r="J511" s="7"/>
      <x:c r="K511" s="8" t="str">
        <x:f>IF(A511="","",DATE(YEAR(A511),MONTH(A511),1))</x:f>
      </x:c>
    </x:row>
    <x:row r="512">
      <x:c r="A512" s="9"/>
      <x:c r="B512" s="7"/>
      <x:c r="C512" s="7" t="str">
        <x:f>IF(B512="","",XLOOKUP(B512,Employees!$A$4:$A$53,Employees!$B$4:$B$53,""))</x:f>
      </x:c>
      <x:c r="D512" s="7"/>
      <x:c r="E512" s="10" t="n">
        <x:v>8</x:v>
      </x:c>
      <x:c r="F512" s="10"/>
      <x:c r="G512" s="10" t="str">
        <x:f>IF(F512="","",MIN(F512,E512))</x:f>
      </x:c>
      <x:c r="H512" s="10" t="str">
        <x:f>IF(F512="","",MAX(0,F512-E512))</x:f>
      </x:c>
      <x:c r="I512" s="24"/>
      <x:c r="J512" s="7"/>
      <x:c r="K512" s="8" t="str">
        <x:f>IF(A512="","",DATE(YEAR(A512),MONTH(A512),1))</x:f>
      </x:c>
    </x:row>
    <x:row r="513">
      <x:c r="A513" s="9"/>
      <x:c r="B513" s="7"/>
      <x:c r="C513" s="7" t="str">
        <x:f>IF(B513="","",XLOOKUP(B513,Employees!$A$4:$A$53,Employees!$B$4:$B$53,""))</x:f>
      </x:c>
      <x:c r="D513" s="7"/>
      <x:c r="E513" s="10" t="n">
        <x:v>8</x:v>
      </x:c>
      <x:c r="F513" s="10"/>
      <x:c r="G513" s="10" t="str">
        <x:f>IF(F513="","",MIN(F513,E513))</x:f>
      </x:c>
      <x:c r="H513" s="10" t="str">
        <x:f>IF(F513="","",MAX(0,F513-E513))</x:f>
      </x:c>
      <x:c r="I513" s="24"/>
      <x:c r="J513" s="7"/>
      <x:c r="K513" s="8" t="str">
        <x:f>IF(A513="","",DATE(YEAR(A513),MONTH(A513),1))</x:f>
      </x:c>
    </x:row>
    <x:row r="514">
      <x:c r="A514" s="9"/>
      <x:c r="B514" s="7"/>
      <x:c r="C514" s="7" t="str">
        <x:f>IF(B514="","",XLOOKUP(B514,Employees!$A$4:$A$53,Employees!$B$4:$B$53,""))</x:f>
      </x:c>
      <x:c r="D514" s="7"/>
      <x:c r="E514" s="10" t="n">
        <x:v>8</x:v>
      </x:c>
      <x:c r="F514" s="10"/>
      <x:c r="G514" s="10" t="str">
        <x:f>IF(F514="","",MIN(F514,E514))</x:f>
      </x:c>
      <x:c r="H514" s="10" t="str">
        <x:f>IF(F514="","",MAX(0,F514-E514))</x:f>
      </x:c>
      <x:c r="I514" s="24"/>
      <x:c r="J514" s="7"/>
      <x:c r="K514" s="8" t="str">
        <x:f>IF(A514="","",DATE(YEAR(A514),MONTH(A514),1))</x:f>
      </x:c>
    </x:row>
    <x:row r="515">
      <x:c r="A515" s="9"/>
      <x:c r="B515" s="7"/>
      <x:c r="C515" s="7" t="str">
        <x:f>IF(B515="","",XLOOKUP(B515,Employees!$A$4:$A$53,Employees!$B$4:$B$53,""))</x:f>
      </x:c>
      <x:c r="D515" s="7"/>
      <x:c r="E515" s="10" t="n">
        <x:v>8</x:v>
      </x:c>
      <x:c r="F515" s="10"/>
      <x:c r="G515" s="10" t="str">
        <x:f>IF(F515="","",MIN(F515,E515))</x:f>
      </x:c>
      <x:c r="H515" s="10" t="str">
        <x:f>IF(F515="","",MAX(0,F515-E515))</x:f>
      </x:c>
      <x:c r="I515" s="24"/>
      <x:c r="J515" s="7"/>
      <x:c r="K515" s="8" t="str">
        <x:f>IF(A515="","",DATE(YEAR(A515),MONTH(A515),1))</x:f>
      </x:c>
    </x:row>
    <x:row r="516">
      <x:c r="A516" s="9"/>
      <x:c r="B516" s="7"/>
      <x:c r="C516" s="7" t="str">
        <x:f>IF(B516="","",XLOOKUP(B516,Employees!$A$4:$A$53,Employees!$B$4:$B$53,""))</x:f>
      </x:c>
      <x:c r="D516" s="7"/>
      <x:c r="E516" s="10" t="n">
        <x:v>8</x:v>
      </x:c>
      <x:c r="F516" s="10"/>
      <x:c r="G516" s="10" t="str">
        <x:f>IF(F516="","",MIN(F516,E516))</x:f>
      </x:c>
      <x:c r="H516" s="10" t="str">
        <x:f>IF(F516="","",MAX(0,F516-E516))</x:f>
      </x:c>
      <x:c r="I516" s="24"/>
      <x:c r="J516" s="7"/>
      <x:c r="K516" s="8" t="str">
        <x:f>IF(A516="","",DATE(YEAR(A516),MONTH(A516),1))</x:f>
      </x:c>
    </x:row>
    <x:row r="517">
      <x:c r="A517" s="9"/>
      <x:c r="B517" s="7"/>
      <x:c r="C517" s="7" t="str">
        <x:f>IF(B517="","",XLOOKUP(B517,Employees!$A$4:$A$53,Employees!$B$4:$B$53,""))</x:f>
      </x:c>
      <x:c r="D517" s="7"/>
      <x:c r="E517" s="10" t="n">
        <x:v>8</x:v>
      </x:c>
      <x:c r="F517" s="10"/>
      <x:c r="G517" s="10" t="str">
        <x:f>IF(F517="","",MIN(F517,E517))</x:f>
      </x:c>
      <x:c r="H517" s="10" t="str">
        <x:f>IF(F517="","",MAX(0,F517-E517))</x:f>
      </x:c>
      <x:c r="I517" s="24"/>
      <x:c r="J517" s="7"/>
      <x:c r="K517" s="8" t="str">
        <x:f>IF(A517="","",DATE(YEAR(A517),MONTH(A517),1))</x:f>
      </x:c>
    </x:row>
    <x:row r="518">
      <x:c r="A518" s="9"/>
      <x:c r="B518" s="7"/>
      <x:c r="C518" s="7" t="str">
        <x:f>IF(B518="","",XLOOKUP(B518,Employees!$A$4:$A$53,Employees!$B$4:$B$53,""))</x:f>
      </x:c>
      <x:c r="D518" s="7"/>
      <x:c r="E518" s="10" t="n">
        <x:v>8</x:v>
      </x:c>
      <x:c r="F518" s="10"/>
      <x:c r="G518" s="10" t="str">
        <x:f>IF(F518="","",MIN(F518,E518))</x:f>
      </x:c>
      <x:c r="H518" s="10" t="str">
        <x:f>IF(F518="","",MAX(0,F518-E518))</x:f>
      </x:c>
      <x:c r="I518" s="24"/>
      <x:c r="J518" s="7"/>
      <x:c r="K518" s="8" t="str">
        <x:f>IF(A518="","",DATE(YEAR(A518),MONTH(A518),1))</x:f>
      </x:c>
    </x:row>
    <x:row r="519">
      <x:c r="A519" s="9"/>
      <x:c r="B519" s="7"/>
      <x:c r="C519" s="7" t="str">
        <x:f>IF(B519="","",XLOOKUP(B519,Employees!$A$4:$A$53,Employees!$B$4:$B$53,""))</x:f>
      </x:c>
      <x:c r="D519" s="7"/>
      <x:c r="E519" s="10" t="n">
        <x:v>8</x:v>
      </x:c>
      <x:c r="F519" s="10"/>
      <x:c r="G519" s="10" t="str">
        <x:f>IF(F519="","",MIN(F519,E519))</x:f>
      </x:c>
      <x:c r="H519" s="10" t="str">
        <x:f>IF(F519="","",MAX(0,F519-E519))</x:f>
      </x:c>
      <x:c r="I519" s="24"/>
      <x:c r="J519" s="7"/>
      <x:c r="K519" s="8" t="str">
        <x:f>IF(A519="","",DATE(YEAR(A519),MONTH(A519),1))</x:f>
      </x:c>
    </x:row>
    <x:row r="520">
      <x:c r="A520" s="9"/>
      <x:c r="B520" s="7"/>
      <x:c r="C520" s="7" t="str">
        <x:f>IF(B520="","",XLOOKUP(B520,Employees!$A$4:$A$53,Employees!$B$4:$B$53,""))</x:f>
      </x:c>
      <x:c r="D520" s="7"/>
      <x:c r="E520" s="10" t="n">
        <x:v>8</x:v>
      </x:c>
      <x:c r="F520" s="10"/>
      <x:c r="G520" s="10" t="str">
        <x:f>IF(F520="","",MIN(F520,E520))</x:f>
      </x:c>
      <x:c r="H520" s="10" t="str">
        <x:f>IF(F520="","",MAX(0,F520-E520))</x:f>
      </x:c>
      <x:c r="I520" s="24"/>
      <x:c r="J520" s="7"/>
      <x:c r="K520" s="8" t="str">
        <x:f>IF(A520="","",DATE(YEAR(A520),MONTH(A520),1))</x:f>
      </x:c>
    </x:row>
    <x:row r="521">
      <x:c r="A521" s="9"/>
      <x:c r="B521" s="7"/>
      <x:c r="C521" s="7" t="str">
        <x:f>IF(B521="","",XLOOKUP(B521,Employees!$A$4:$A$53,Employees!$B$4:$B$53,""))</x:f>
      </x:c>
      <x:c r="D521" s="7"/>
      <x:c r="E521" s="10" t="n">
        <x:v>8</x:v>
      </x:c>
      <x:c r="F521" s="10"/>
      <x:c r="G521" s="10" t="str">
        <x:f>IF(F521="","",MIN(F521,E521))</x:f>
      </x:c>
      <x:c r="H521" s="10" t="str">
        <x:f>IF(F521="","",MAX(0,F521-E521))</x:f>
      </x:c>
      <x:c r="I521" s="24"/>
      <x:c r="J521" s="7"/>
      <x:c r="K521" s="8" t="str">
        <x:f>IF(A521="","",DATE(YEAR(A521),MONTH(A521),1))</x:f>
      </x:c>
    </x:row>
    <x:row r="522">
      <x:c r="A522" s="9"/>
      <x:c r="B522" s="7"/>
      <x:c r="C522" s="7" t="str">
        <x:f>IF(B522="","",XLOOKUP(B522,Employees!$A$4:$A$53,Employees!$B$4:$B$53,""))</x:f>
      </x:c>
      <x:c r="D522" s="7"/>
      <x:c r="E522" s="10" t="n">
        <x:v>8</x:v>
      </x:c>
      <x:c r="F522" s="10"/>
      <x:c r="G522" s="10" t="str">
        <x:f>IF(F522="","",MIN(F522,E522))</x:f>
      </x:c>
      <x:c r="H522" s="10" t="str">
        <x:f>IF(F522="","",MAX(0,F522-E522))</x:f>
      </x:c>
      <x:c r="I522" s="24"/>
      <x:c r="J522" s="7"/>
      <x:c r="K522" s="8" t="str">
        <x:f>IF(A522="","",DATE(YEAR(A522),MONTH(A522),1))</x:f>
      </x:c>
    </x:row>
    <x:row r="523">
      <x:c r="A523" s="9"/>
      <x:c r="B523" s="7"/>
      <x:c r="C523" s="7" t="str">
        <x:f>IF(B523="","",XLOOKUP(B523,Employees!$A$4:$A$53,Employees!$B$4:$B$53,""))</x:f>
      </x:c>
      <x:c r="D523" s="7"/>
      <x:c r="E523" s="10" t="n">
        <x:v>8</x:v>
      </x:c>
      <x:c r="F523" s="10"/>
      <x:c r="G523" s="10" t="str">
        <x:f>IF(F523="","",MIN(F523,E523))</x:f>
      </x:c>
      <x:c r="H523" s="10" t="str">
        <x:f>IF(F523="","",MAX(0,F523-E523))</x:f>
      </x:c>
      <x:c r="I523" s="24"/>
      <x:c r="J523" s="7"/>
      <x:c r="K523" s="8" t="str">
        <x:f>IF(A523="","",DATE(YEAR(A523),MONTH(A523),1))</x:f>
      </x:c>
    </x:row>
    <x:row r="524">
      <x:c r="A524" s="9"/>
      <x:c r="B524" s="7"/>
      <x:c r="C524" s="7" t="str">
        <x:f>IF(B524="","",XLOOKUP(B524,Employees!$A$4:$A$53,Employees!$B$4:$B$53,""))</x:f>
      </x:c>
      <x:c r="D524" s="7"/>
      <x:c r="E524" s="10" t="n">
        <x:v>8</x:v>
      </x:c>
      <x:c r="F524" s="10"/>
      <x:c r="G524" s="10" t="str">
        <x:f>IF(F524="","",MIN(F524,E524))</x:f>
      </x:c>
      <x:c r="H524" s="10" t="str">
        <x:f>IF(F524="","",MAX(0,F524-E524))</x:f>
      </x:c>
      <x:c r="I524" s="24"/>
      <x:c r="J524" s="7"/>
      <x:c r="K524" s="8" t="str">
        <x:f>IF(A524="","",DATE(YEAR(A524),MONTH(A524),1))</x:f>
      </x:c>
    </x:row>
    <x:row r="525">
      <x:c r="A525" s="9"/>
      <x:c r="B525" s="7"/>
      <x:c r="C525" s="7" t="str">
        <x:f>IF(B525="","",XLOOKUP(B525,Employees!$A$4:$A$53,Employees!$B$4:$B$53,""))</x:f>
      </x:c>
      <x:c r="D525" s="7"/>
      <x:c r="E525" s="10" t="n">
        <x:v>8</x:v>
      </x:c>
      <x:c r="F525" s="10"/>
      <x:c r="G525" s="10" t="str">
        <x:f>IF(F525="","",MIN(F525,E525))</x:f>
      </x:c>
      <x:c r="H525" s="10" t="str">
        <x:f>IF(F525="","",MAX(0,F525-E525))</x:f>
      </x:c>
      <x:c r="I525" s="24"/>
      <x:c r="J525" s="7"/>
      <x:c r="K525" s="8" t="str">
        <x:f>IF(A525="","",DATE(YEAR(A525),MONTH(A525),1))</x:f>
      </x:c>
    </x:row>
    <x:row r="526">
      <x:c r="A526" s="9"/>
      <x:c r="B526" s="7"/>
      <x:c r="C526" s="7" t="str">
        <x:f>IF(B526="","",XLOOKUP(B526,Employees!$A$4:$A$53,Employees!$B$4:$B$53,""))</x:f>
      </x:c>
      <x:c r="D526" s="7"/>
      <x:c r="E526" s="10" t="n">
        <x:v>8</x:v>
      </x:c>
      <x:c r="F526" s="10"/>
      <x:c r="G526" s="10" t="str">
        <x:f>IF(F526="","",MIN(F526,E526))</x:f>
      </x:c>
      <x:c r="H526" s="10" t="str">
        <x:f>IF(F526="","",MAX(0,F526-E526))</x:f>
      </x:c>
      <x:c r="I526" s="24"/>
      <x:c r="J526" s="7"/>
      <x:c r="K526" s="8" t="str">
        <x:f>IF(A526="","",DATE(YEAR(A526),MONTH(A526),1))</x:f>
      </x:c>
    </x:row>
    <x:row r="527">
      <x:c r="A527" s="9"/>
      <x:c r="B527" s="7"/>
      <x:c r="C527" s="7" t="str">
        <x:f>IF(B527="","",XLOOKUP(B527,Employees!$A$4:$A$53,Employees!$B$4:$B$53,""))</x:f>
      </x:c>
      <x:c r="D527" s="7"/>
      <x:c r="E527" s="10" t="n">
        <x:v>8</x:v>
      </x:c>
      <x:c r="F527" s="10"/>
      <x:c r="G527" s="10" t="str">
        <x:f>IF(F527="","",MIN(F527,E527))</x:f>
      </x:c>
      <x:c r="H527" s="10" t="str">
        <x:f>IF(F527="","",MAX(0,F527-E527))</x:f>
      </x:c>
      <x:c r="I527" s="24"/>
      <x:c r="J527" s="7"/>
      <x:c r="K527" s="8" t="str">
        <x:f>IF(A527="","",DATE(YEAR(A527),MONTH(A527),1))</x:f>
      </x:c>
    </x:row>
    <x:row r="528">
      <x:c r="A528" s="9"/>
      <x:c r="B528" s="7"/>
      <x:c r="C528" s="7" t="str">
        <x:f>IF(B528="","",XLOOKUP(B528,Employees!$A$4:$A$53,Employees!$B$4:$B$53,""))</x:f>
      </x:c>
      <x:c r="D528" s="7"/>
      <x:c r="E528" s="10" t="n">
        <x:v>8</x:v>
      </x:c>
      <x:c r="F528" s="10"/>
      <x:c r="G528" s="10" t="str">
        <x:f>IF(F528="","",MIN(F528,E528))</x:f>
      </x:c>
      <x:c r="H528" s="10" t="str">
        <x:f>IF(F528="","",MAX(0,F528-E528))</x:f>
      </x:c>
      <x:c r="I528" s="24"/>
      <x:c r="J528" s="7"/>
      <x:c r="K528" s="8" t="str">
        <x:f>IF(A528="","",DATE(YEAR(A528),MONTH(A528),1))</x:f>
      </x:c>
    </x:row>
    <x:row r="529">
      <x:c r="A529" s="9"/>
      <x:c r="B529" s="7"/>
      <x:c r="C529" s="7" t="str">
        <x:f>IF(B529="","",XLOOKUP(B529,Employees!$A$4:$A$53,Employees!$B$4:$B$53,""))</x:f>
      </x:c>
      <x:c r="D529" s="7"/>
      <x:c r="E529" s="10" t="n">
        <x:v>8</x:v>
      </x:c>
      <x:c r="F529" s="10"/>
      <x:c r="G529" s="10" t="str">
        <x:f>IF(F529="","",MIN(F529,E529))</x:f>
      </x:c>
      <x:c r="H529" s="10" t="str">
        <x:f>IF(F529="","",MAX(0,F529-E529))</x:f>
      </x:c>
      <x:c r="I529" s="24"/>
      <x:c r="J529" s="7"/>
      <x:c r="K529" s="8" t="str">
        <x:f>IF(A529="","",DATE(YEAR(A529),MONTH(A529),1))</x:f>
      </x:c>
    </x:row>
    <x:row r="530">
      <x:c r="A530" s="9"/>
      <x:c r="B530" s="7"/>
      <x:c r="C530" s="7" t="str">
        <x:f>IF(B530="","",XLOOKUP(B530,Employees!$A$4:$A$53,Employees!$B$4:$B$53,""))</x:f>
      </x:c>
      <x:c r="D530" s="7"/>
      <x:c r="E530" s="10" t="n">
        <x:v>8</x:v>
      </x:c>
      <x:c r="F530" s="10"/>
      <x:c r="G530" s="10" t="str">
        <x:f>IF(F530="","",MIN(F530,E530))</x:f>
      </x:c>
      <x:c r="H530" s="10" t="str">
        <x:f>IF(F530="","",MAX(0,F530-E530))</x:f>
      </x:c>
      <x:c r="I530" s="24"/>
      <x:c r="J530" s="7"/>
      <x:c r="K530" s="8" t="str">
        <x:f>IF(A530="","",DATE(YEAR(A530),MONTH(A530),1))</x:f>
      </x:c>
    </x:row>
    <x:row r="531">
      <x:c r="A531" s="9"/>
      <x:c r="B531" s="7"/>
      <x:c r="C531" s="7" t="str">
        <x:f>IF(B531="","",XLOOKUP(B531,Employees!$A$4:$A$53,Employees!$B$4:$B$53,""))</x:f>
      </x:c>
      <x:c r="D531" s="7"/>
      <x:c r="E531" s="10" t="n">
        <x:v>8</x:v>
      </x:c>
      <x:c r="F531" s="10"/>
      <x:c r="G531" s="10" t="str">
        <x:f>IF(F531="","",MIN(F531,E531))</x:f>
      </x:c>
      <x:c r="H531" s="10" t="str">
        <x:f>IF(F531="","",MAX(0,F531-E531))</x:f>
      </x:c>
      <x:c r="I531" s="24"/>
      <x:c r="J531" s="7"/>
      <x:c r="K531" s="8" t="str">
        <x:f>IF(A531="","",DATE(YEAR(A531),MONTH(A531),1))</x:f>
      </x:c>
    </x:row>
    <x:row r="532">
      <x:c r="A532" s="9"/>
      <x:c r="B532" s="7"/>
      <x:c r="C532" s="7" t="str">
        <x:f>IF(B532="","",XLOOKUP(B532,Employees!$A$4:$A$53,Employees!$B$4:$B$53,""))</x:f>
      </x:c>
      <x:c r="D532" s="7"/>
      <x:c r="E532" s="10" t="n">
        <x:v>8</x:v>
      </x:c>
      <x:c r="F532" s="10"/>
      <x:c r="G532" s="10" t="str">
        <x:f>IF(F532="","",MIN(F532,E532))</x:f>
      </x:c>
      <x:c r="H532" s="10" t="str">
        <x:f>IF(F532="","",MAX(0,F532-E532))</x:f>
      </x:c>
      <x:c r="I532" s="24"/>
      <x:c r="J532" s="7"/>
      <x:c r="K532" s="8" t="str">
        <x:f>IF(A532="","",DATE(YEAR(A532),MONTH(A532),1))</x:f>
      </x:c>
    </x:row>
    <x:row r="533">
      <x:c r="A533" s="9"/>
      <x:c r="B533" s="7"/>
      <x:c r="C533" s="7" t="str">
        <x:f>IF(B533="","",XLOOKUP(B533,Employees!$A$4:$A$53,Employees!$B$4:$B$53,""))</x:f>
      </x:c>
      <x:c r="D533" s="7"/>
      <x:c r="E533" s="10" t="n">
        <x:v>8</x:v>
      </x:c>
      <x:c r="F533" s="10"/>
      <x:c r="G533" s="10" t="str">
        <x:f>IF(F533="","",MIN(F533,E533))</x:f>
      </x:c>
      <x:c r="H533" s="10" t="str">
        <x:f>IF(F533="","",MAX(0,F533-E533))</x:f>
      </x:c>
      <x:c r="I533" s="24"/>
      <x:c r="J533" s="7"/>
      <x:c r="K533" s="8" t="str">
        <x:f>IF(A533="","",DATE(YEAR(A533),MONTH(A533),1))</x:f>
      </x:c>
    </x:row>
    <x:row r="534">
      <x:c r="A534" s="9"/>
      <x:c r="B534" s="7"/>
      <x:c r="C534" s="7" t="str">
        <x:f>IF(B534="","",XLOOKUP(B534,Employees!$A$4:$A$53,Employees!$B$4:$B$53,""))</x:f>
      </x:c>
      <x:c r="D534" s="7"/>
      <x:c r="E534" s="10" t="n">
        <x:v>8</x:v>
      </x:c>
      <x:c r="F534" s="10"/>
      <x:c r="G534" s="10" t="str">
        <x:f>IF(F534="","",MIN(F534,E534))</x:f>
      </x:c>
      <x:c r="H534" s="10" t="str">
        <x:f>IF(F534="","",MAX(0,F534-E534))</x:f>
      </x:c>
      <x:c r="I534" s="24"/>
      <x:c r="J534" s="7"/>
      <x:c r="K534" s="8" t="str">
        <x:f>IF(A534="","",DATE(YEAR(A534),MONTH(A534),1))</x:f>
      </x:c>
    </x:row>
    <x:row r="535">
      <x:c r="A535" s="9"/>
      <x:c r="B535" s="7"/>
      <x:c r="C535" s="7" t="str">
        <x:f>IF(B535="","",XLOOKUP(B535,Employees!$A$4:$A$53,Employees!$B$4:$B$53,""))</x:f>
      </x:c>
      <x:c r="D535" s="7"/>
      <x:c r="E535" s="10" t="n">
        <x:v>8</x:v>
      </x:c>
      <x:c r="F535" s="10"/>
      <x:c r="G535" s="10" t="str">
        <x:f>IF(F535="","",MIN(F535,E535))</x:f>
      </x:c>
      <x:c r="H535" s="10" t="str">
        <x:f>IF(F535="","",MAX(0,F535-E535))</x:f>
      </x:c>
      <x:c r="I535" s="24"/>
      <x:c r="J535" s="7"/>
      <x:c r="K535" s="8" t="str">
        <x:f>IF(A535="","",DATE(YEAR(A535),MONTH(A535),1))</x:f>
      </x:c>
    </x:row>
    <x:row r="536">
      <x:c r="A536" s="9"/>
      <x:c r="B536" s="7"/>
      <x:c r="C536" s="7" t="str">
        <x:f>IF(B536="","",XLOOKUP(B536,Employees!$A$4:$A$53,Employees!$B$4:$B$53,""))</x:f>
      </x:c>
      <x:c r="D536" s="7"/>
      <x:c r="E536" s="10" t="n">
        <x:v>8</x:v>
      </x:c>
      <x:c r="F536" s="10"/>
      <x:c r="G536" s="10" t="str">
        <x:f>IF(F536="","",MIN(F536,E536))</x:f>
      </x:c>
      <x:c r="H536" s="10" t="str">
        <x:f>IF(F536="","",MAX(0,F536-E536))</x:f>
      </x:c>
      <x:c r="I536" s="24"/>
      <x:c r="J536" s="7"/>
      <x:c r="K536" s="8" t="str">
        <x:f>IF(A536="","",DATE(YEAR(A536),MONTH(A536),1))</x:f>
      </x:c>
    </x:row>
    <x:row r="537">
      <x:c r="A537" s="9"/>
      <x:c r="B537" s="7"/>
      <x:c r="C537" s="7" t="str">
        <x:f>IF(B537="","",XLOOKUP(B537,Employees!$A$4:$A$53,Employees!$B$4:$B$53,""))</x:f>
      </x:c>
      <x:c r="D537" s="7"/>
      <x:c r="E537" s="10" t="n">
        <x:v>8</x:v>
      </x:c>
      <x:c r="F537" s="10"/>
      <x:c r="G537" s="10" t="str">
        <x:f>IF(F537="","",MIN(F537,E537))</x:f>
      </x:c>
      <x:c r="H537" s="10" t="str">
        <x:f>IF(F537="","",MAX(0,F537-E537))</x:f>
      </x:c>
      <x:c r="I537" s="24"/>
      <x:c r="J537" s="7"/>
      <x:c r="K537" s="8" t="str">
        <x:f>IF(A537="","",DATE(YEAR(A537),MONTH(A537),1))</x:f>
      </x:c>
    </x:row>
    <x:row r="538">
      <x:c r="A538" s="9"/>
      <x:c r="B538" s="7"/>
      <x:c r="C538" s="7" t="str">
        <x:f>IF(B538="","",XLOOKUP(B538,Employees!$A$4:$A$53,Employees!$B$4:$B$53,""))</x:f>
      </x:c>
      <x:c r="D538" s="7"/>
      <x:c r="E538" s="10" t="n">
        <x:v>8</x:v>
      </x:c>
      <x:c r="F538" s="10"/>
      <x:c r="G538" s="10" t="str">
        <x:f>IF(F538="","",MIN(F538,E538))</x:f>
      </x:c>
      <x:c r="H538" s="10" t="str">
        <x:f>IF(F538="","",MAX(0,F538-E538))</x:f>
      </x:c>
      <x:c r="I538" s="24"/>
      <x:c r="J538" s="7"/>
      <x:c r="K538" s="8" t="str">
        <x:f>IF(A538="","",DATE(YEAR(A538),MONTH(A538),1))</x:f>
      </x:c>
    </x:row>
    <x:row r="539">
      <x:c r="A539" s="9"/>
      <x:c r="B539" s="7"/>
      <x:c r="C539" s="7" t="str">
        <x:f>IF(B539="","",XLOOKUP(B539,Employees!$A$4:$A$53,Employees!$B$4:$B$53,""))</x:f>
      </x:c>
      <x:c r="D539" s="7"/>
      <x:c r="E539" s="10" t="n">
        <x:v>8</x:v>
      </x:c>
      <x:c r="F539" s="10"/>
      <x:c r="G539" s="10" t="str">
        <x:f>IF(F539="","",MIN(F539,E539))</x:f>
      </x:c>
      <x:c r="H539" s="10" t="str">
        <x:f>IF(F539="","",MAX(0,F539-E539))</x:f>
      </x:c>
      <x:c r="I539" s="24"/>
      <x:c r="J539" s="7"/>
      <x:c r="K539" s="8" t="str">
        <x:f>IF(A539="","",DATE(YEAR(A539),MONTH(A539),1))</x:f>
      </x:c>
    </x:row>
    <x:row r="540">
      <x:c r="A540" s="9"/>
      <x:c r="B540" s="7"/>
      <x:c r="C540" s="7" t="str">
        <x:f>IF(B540="","",XLOOKUP(B540,Employees!$A$4:$A$53,Employees!$B$4:$B$53,""))</x:f>
      </x:c>
      <x:c r="D540" s="7"/>
      <x:c r="E540" s="10" t="n">
        <x:v>8</x:v>
      </x:c>
      <x:c r="F540" s="10"/>
      <x:c r="G540" s="10" t="str">
        <x:f>IF(F540="","",MIN(F540,E540))</x:f>
      </x:c>
      <x:c r="H540" s="10" t="str">
        <x:f>IF(F540="","",MAX(0,F540-E540))</x:f>
      </x:c>
      <x:c r="I540" s="24"/>
      <x:c r="J540" s="7"/>
      <x:c r="K540" s="8" t="str">
        <x:f>IF(A540="","",DATE(YEAR(A540),MONTH(A540),1))</x:f>
      </x:c>
    </x:row>
    <x:row r="541">
      <x:c r="A541" s="9"/>
      <x:c r="B541" s="7"/>
      <x:c r="C541" s="7" t="str">
        <x:f>IF(B541="","",XLOOKUP(B541,Employees!$A$4:$A$53,Employees!$B$4:$B$53,""))</x:f>
      </x:c>
      <x:c r="D541" s="7"/>
      <x:c r="E541" s="10" t="n">
        <x:v>8</x:v>
      </x:c>
      <x:c r="F541" s="10"/>
      <x:c r="G541" s="10" t="str">
        <x:f>IF(F541="","",MIN(F541,E541))</x:f>
      </x:c>
      <x:c r="H541" s="10" t="str">
        <x:f>IF(F541="","",MAX(0,F541-E541))</x:f>
      </x:c>
      <x:c r="I541" s="24"/>
      <x:c r="J541" s="7"/>
      <x:c r="K541" s="8" t="str">
        <x:f>IF(A541="","",DATE(YEAR(A541),MONTH(A541),1))</x:f>
      </x:c>
    </x:row>
    <x:row r="542">
      <x:c r="A542" s="9"/>
      <x:c r="B542" s="7"/>
      <x:c r="C542" s="7" t="str">
        <x:f>IF(B542="","",XLOOKUP(B542,Employees!$A$4:$A$53,Employees!$B$4:$B$53,""))</x:f>
      </x:c>
      <x:c r="D542" s="7"/>
      <x:c r="E542" s="10" t="n">
        <x:v>8</x:v>
      </x:c>
      <x:c r="F542" s="10"/>
      <x:c r="G542" s="10" t="str">
        <x:f>IF(F542="","",MIN(F542,E542))</x:f>
      </x:c>
      <x:c r="H542" s="10" t="str">
        <x:f>IF(F542="","",MAX(0,F542-E542))</x:f>
      </x:c>
      <x:c r="I542" s="24"/>
      <x:c r="J542" s="7"/>
      <x:c r="K542" s="8" t="str">
        <x:f>IF(A542="","",DATE(YEAR(A542),MONTH(A542),1))</x:f>
      </x:c>
    </x:row>
    <x:row r="543">
      <x:c r="A543" s="9"/>
      <x:c r="B543" s="7"/>
      <x:c r="C543" s="7" t="str">
        <x:f>IF(B543="","",XLOOKUP(B543,Employees!$A$4:$A$53,Employees!$B$4:$B$53,""))</x:f>
      </x:c>
      <x:c r="D543" s="7"/>
      <x:c r="E543" s="10" t="n">
        <x:v>8</x:v>
      </x:c>
      <x:c r="F543" s="10"/>
      <x:c r="G543" s="10" t="str">
        <x:f>IF(F543="","",MIN(F543,E543))</x:f>
      </x:c>
      <x:c r="H543" s="10" t="str">
        <x:f>IF(F543="","",MAX(0,F543-E543))</x:f>
      </x:c>
      <x:c r="I543" s="24"/>
      <x:c r="J543" s="7"/>
      <x:c r="K543" s="8" t="str">
        <x:f>IF(A543="","",DATE(YEAR(A543),MONTH(A543),1))</x:f>
      </x:c>
    </x:row>
    <x:row r="544">
      <x:c r="A544" s="9"/>
      <x:c r="B544" s="7"/>
      <x:c r="C544" s="7" t="str">
        <x:f>IF(B544="","",XLOOKUP(B544,Employees!$A$4:$A$53,Employees!$B$4:$B$53,""))</x:f>
      </x:c>
      <x:c r="D544" s="7"/>
      <x:c r="E544" s="10" t="n">
        <x:v>8</x:v>
      </x:c>
      <x:c r="F544" s="10"/>
      <x:c r="G544" s="10" t="str">
        <x:f>IF(F544="","",MIN(F544,E544))</x:f>
      </x:c>
      <x:c r="H544" s="10" t="str">
        <x:f>IF(F544="","",MAX(0,F544-E544))</x:f>
      </x:c>
      <x:c r="I544" s="24"/>
      <x:c r="J544" s="7"/>
      <x:c r="K544" s="8" t="str">
        <x:f>IF(A544="","",DATE(YEAR(A544),MONTH(A544),1))</x:f>
      </x:c>
    </x:row>
    <x:row r="545">
      <x:c r="A545" s="9"/>
      <x:c r="B545" s="7"/>
      <x:c r="C545" s="7" t="str">
        <x:f>IF(B545="","",XLOOKUP(B545,Employees!$A$4:$A$53,Employees!$B$4:$B$53,""))</x:f>
      </x:c>
      <x:c r="D545" s="7"/>
      <x:c r="E545" s="10" t="n">
        <x:v>8</x:v>
      </x:c>
      <x:c r="F545" s="10"/>
      <x:c r="G545" s="10" t="str">
        <x:f>IF(F545="","",MIN(F545,E545))</x:f>
      </x:c>
      <x:c r="H545" s="10" t="str">
        <x:f>IF(F545="","",MAX(0,F545-E545))</x:f>
      </x:c>
      <x:c r="I545" s="24"/>
      <x:c r="J545" s="7"/>
      <x:c r="K545" s="8" t="str">
        <x:f>IF(A545="","",DATE(YEAR(A545),MONTH(A545),1))</x:f>
      </x:c>
    </x:row>
    <x:row r="546">
      <x:c r="A546" s="9"/>
      <x:c r="B546" s="7"/>
      <x:c r="C546" s="7" t="str">
        <x:f>IF(B546="","",XLOOKUP(B546,Employees!$A$4:$A$53,Employees!$B$4:$B$53,""))</x:f>
      </x:c>
      <x:c r="D546" s="7"/>
      <x:c r="E546" s="10" t="n">
        <x:v>8</x:v>
      </x:c>
      <x:c r="F546" s="10"/>
      <x:c r="G546" s="10" t="str">
        <x:f>IF(F546="","",MIN(F546,E546))</x:f>
      </x:c>
      <x:c r="H546" s="10" t="str">
        <x:f>IF(F546="","",MAX(0,F546-E546))</x:f>
      </x:c>
      <x:c r="I546" s="24"/>
      <x:c r="J546" s="7"/>
      <x:c r="K546" s="8" t="str">
        <x:f>IF(A546="","",DATE(YEAR(A546),MONTH(A546),1))</x:f>
      </x:c>
    </x:row>
    <x:row r="547">
      <x:c r="A547" s="9"/>
      <x:c r="B547" s="7"/>
      <x:c r="C547" s="7" t="str">
        <x:f>IF(B547="","",XLOOKUP(B547,Employees!$A$4:$A$53,Employees!$B$4:$B$53,""))</x:f>
      </x:c>
      <x:c r="D547" s="7"/>
      <x:c r="E547" s="10" t="n">
        <x:v>8</x:v>
      </x:c>
      <x:c r="F547" s="10"/>
      <x:c r="G547" s="10" t="str">
        <x:f>IF(F547="","",MIN(F547,E547))</x:f>
      </x:c>
      <x:c r="H547" s="10" t="str">
        <x:f>IF(F547="","",MAX(0,F547-E547))</x:f>
      </x:c>
      <x:c r="I547" s="24"/>
      <x:c r="J547" s="7"/>
      <x:c r="K547" s="8" t="str">
        <x:f>IF(A547="","",DATE(YEAR(A547),MONTH(A547),1))</x:f>
      </x:c>
    </x:row>
    <x:row r="548">
      <x:c r="A548" s="9"/>
      <x:c r="B548" s="7"/>
      <x:c r="C548" s="7" t="str">
        <x:f>IF(B548="","",XLOOKUP(B548,Employees!$A$4:$A$53,Employees!$B$4:$B$53,""))</x:f>
      </x:c>
      <x:c r="D548" s="7"/>
      <x:c r="E548" s="10" t="n">
        <x:v>8</x:v>
      </x:c>
      <x:c r="F548" s="10"/>
      <x:c r="G548" s="10" t="str">
        <x:f>IF(F548="","",MIN(F548,E548))</x:f>
      </x:c>
      <x:c r="H548" s="10" t="str">
        <x:f>IF(F548="","",MAX(0,F548-E548))</x:f>
      </x:c>
      <x:c r="I548" s="24"/>
      <x:c r="J548" s="7"/>
      <x:c r="K548" s="8" t="str">
        <x:f>IF(A548="","",DATE(YEAR(A548),MONTH(A548),1))</x:f>
      </x:c>
    </x:row>
    <x:row r="549">
      <x:c r="A549" s="9"/>
      <x:c r="B549" s="7"/>
      <x:c r="C549" s="7" t="str">
        <x:f>IF(B549="","",XLOOKUP(B549,Employees!$A$4:$A$53,Employees!$B$4:$B$53,""))</x:f>
      </x:c>
      <x:c r="D549" s="7"/>
      <x:c r="E549" s="10" t="n">
        <x:v>8</x:v>
      </x:c>
      <x:c r="F549" s="10"/>
      <x:c r="G549" s="10" t="str">
        <x:f>IF(F549="","",MIN(F549,E549))</x:f>
      </x:c>
      <x:c r="H549" s="10" t="str">
        <x:f>IF(F549="","",MAX(0,F549-E549))</x:f>
      </x:c>
      <x:c r="I549" s="24"/>
      <x:c r="J549" s="7"/>
      <x:c r="K549" s="8" t="str">
        <x:f>IF(A549="","",DATE(YEAR(A549),MONTH(A549),1))</x:f>
      </x:c>
    </x:row>
    <x:row r="550">
      <x:c r="A550" s="9"/>
      <x:c r="B550" s="7"/>
      <x:c r="C550" s="7" t="str">
        <x:f>IF(B550="","",XLOOKUP(B550,Employees!$A$4:$A$53,Employees!$B$4:$B$53,""))</x:f>
      </x:c>
      <x:c r="D550" s="7"/>
      <x:c r="E550" s="10" t="n">
        <x:v>8</x:v>
      </x:c>
      <x:c r="F550" s="10"/>
      <x:c r="G550" s="10" t="str">
        <x:f>IF(F550="","",MIN(F550,E550))</x:f>
      </x:c>
      <x:c r="H550" s="10" t="str">
        <x:f>IF(F550="","",MAX(0,F550-E550))</x:f>
      </x:c>
      <x:c r="I550" s="24"/>
      <x:c r="J550" s="7"/>
      <x:c r="K550" s="8" t="str">
        <x:f>IF(A550="","",DATE(YEAR(A550),MONTH(A550),1))</x:f>
      </x:c>
    </x:row>
    <x:row r="551">
      <x:c r="A551" s="9"/>
      <x:c r="B551" s="7"/>
      <x:c r="C551" s="7" t="str">
        <x:f>IF(B551="","",XLOOKUP(B551,Employees!$A$4:$A$53,Employees!$B$4:$B$53,""))</x:f>
      </x:c>
      <x:c r="D551" s="7"/>
      <x:c r="E551" s="10" t="n">
        <x:v>8</x:v>
      </x:c>
      <x:c r="F551" s="10"/>
      <x:c r="G551" s="10" t="str">
        <x:f>IF(F551="","",MIN(F551,E551))</x:f>
      </x:c>
      <x:c r="H551" s="10" t="str">
        <x:f>IF(F551="","",MAX(0,F551-E551))</x:f>
      </x:c>
      <x:c r="I551" s="24"/>
      <x:c r="J551" s="7"/>
      <x:c r="K551" s="8" t="str">
        <x:f>IF(A551="","",DATE(YEAR(A551),MONTH(A551),1))</x:f>
      </x:c>
    </x:row>
    <x:row r="552">
      <x:c r="A552" s="9"/>
      <x:c r="B552" s="7"/>
      <x:c r="C552" s="7" t="str">
        <x:f>IF(B552="","",XLOOKUP(B552,Employees!$A$4:$A$53,Employees!$B$4:$B$53,""))</x:f>
      </x:c>
      <x:c r="D552" s="7"/>
      <x:c r="E552" s="10" t="n">
        <x:v>8</x:v>
      </x:c>
      <x:c r="F552" s="10"/>
      <x:c r="G552" s="10" t="str">
        <x:f>IF(F552="","",MIN(F552,E552))</x:f>
      </x:c>
      <x:c r="H552" s="10" t="str">
        <x:f>IF(F552="","",MAX(0,F552-E552))</x:f>
      </x:c>
      <x:c r="I552" s="24"/>
      <x:c r="J552" s="7"/>
      <x:c r="K552" s="8" t="str">
        <x:f>IF(A552="","",DATE(YEAR(A552),MONTH(A552),1))</x:f>
      </x:c>
    </x:row>
    <x:row r="553">
      <x:c r="A553" s="9"/>
      <x:c r="B553" s="7"/>
      <x:c r="C553" s="7" t="str">
        <x:f>IF(B553="","",XLOOKUP(B553,Employees!$A$4:$A$53,Employees!$B$4:$B$53,""))</x:f>
      </x:c>
      <x:c r="D553" s="7"/>
      <x:c r="E553" s="10" t="n">
        <x:v>8</x:v>
      </x:c>
      <x:c r="F553" s="10"/>
      <x:c r="G553" s="10" t="str">
        <x:f>IF(F553="","",MIN(F553,E553))</x:f>
      </x:c>
      <x:c r="H553" s="10" t="str">
        <x:f>IF(F553="","",MAX(0,F553-E553))</x:f>
      </x:c>
      <x:c r="I553" s="24"/>
      <x:c r="J553" s="7"/>
      <x:c r="K553" s="8" t="str">
        <x:f>IF(A553="","",DATE(YEAR(A553),MONTH(A553),1))</x:f>
      </x:c>
    </x:row>
    <x:row r="554">
      <x:c r="A554" s="9"/>
      <x:c r="B554" s="7"/>
      <x:c r="C554" s="7" t="str">
        <x:f>IF(B554="","",XLOOKUP(B554,Employees!$A$4:$A$53,Employees!$B$4:$B$53,""))</x:f>
      </x:c>
      <x:c r="D554" s="7"/>
      <x:c r="E554" s="10" t="n">
        <x:v>8</x:v>
      </x:c>
      <x:c r="F554" s="10"/>
      <x:c r="G554" s="10" t="str">
        <x:f>IF(F554="","",MIN(F554,E554))</x:f>
      </x:c>
      <x:c r="H554" s="10" t="str">
        <x:f>IF(F554="","",MAX(0,F554-E554))</x:f>
      </x:c>
      <x:c r="I554" s="24"/>
      <x:c r="J554" s="7"/>
      <x:c r="K554" s="8" t="str">
        <x:f>IF(A554="","",DATE(YEAR(A554),MONTH(A554),1))</x:f>
      </x:c>
    </x:row>
    <x:row r="555">
      <x:c r="A555" s="9"/>
      <x:c r="B555" s="7"/>
      <x:c r="C555" s="7" t="str">
        <x:f>IF(B555="","",XLOOKUP(B555,Employees!$A$4:$A$53,Employees!$B$4:$B$53,""))</x:f>
      </x:c>
      <x:c r="D555" s="7"/>
      <x:c r="E555" s="10" t="n">
        <x:v>8</x:v>
      </x:c>
      <x:c r="F555" s="10"/>
      <x:c r="G555" s="10" t="str">
        <x:f>IF(F555="","",MIN(F555,E555))</x:f>
      </x:c>
      <x:c r="H555" s="10" t="str">
        <x:f>IF(F555="","",MAX(0,F555-E555))</x:f>
      </x:c>
      <x:c r="I555" s="24"/>
      <x:c r="J555" s="7"/>
      <x:c r="K555" s="8" t="str">
        <x:f>IF(A555="","",DATE(YEAR(A555),MONTH(A555),1))</x:f>
      </x:c>
    </x:row>
    <x:row r="556">
      <x:c r="A556" s="9"/>
      <x:c r="B556" s="7"/>
      <x:c r="C556" s="7" t="str">
        <x:f>IF(B556="","",XLOOKUP(B556,Employees!$A$4:$A$53,Employees!$B$4:$B$53,""))</x:f>
      </x:c>
      <x:c r="D556" s="7"/>
      <x:c r="E556" s="10" t="n">
        <x:v>8</x:v>
      </x:c>
      <x:c r="F556" s="10"/>
      <x:c r="G556" s="10" t="str">
        <x:f>IF(F556="","",MIN(F556,E556))</x:f>
      </x:c>
      <x:c r="H556" s="10" t="str">
        <x:f>IF(F556="","",MAX(0,F556-E556))</x:f>
      </x:c>
      <x:c r="I556" s="24"/>
      <x:c r="J556" s="7"/>
      <x:c r="K556" s="8" t="str">
        <x:f>IF(A556="","",DATE(YEAR(A556),MONTH(A556),1))</x:f>
      </x:c>
    </x:row>
    <x:row r="557">
      <x:c r="A557" s="9"/>
      <x:c r="B557" s="7"/>
      <x:c r="C557" s="7" t="str">
        <x:f>IF(B557="","",XLOOKUP(B557,Employees!$A$4:$A$53,Employees!$B$4:$B$53,""))</x:f>
      </x:c>
      <x:c r="D557" s="7"/>
      <x:c r="E557" s="10" t="n">
        <x:v>8</x:v>
      </x:c>
      <x:c r="F557" s="10"/>
      <x:c r="G557" s="10" t="str">
        <x:f>IF(F557="","",MIN(F557,E557))</x:f>
      </x:c>
      <x:c r="H557" s="10" t="str">
        <x:f>IF(F557="","",MAX(0,F557-E557))</x:f>
      </x:c>
      <x:c r="I557" s="24"/>
      <x:c r="J557" s="7"/>
      <x:c r="K557" s="8" t="str">
        <x:f>IF(A557="","",DATE(YEAR(A557),MONTH(A557),1))</x:f>
      </x:c>
    </x:row>
    <x:row r="558">
      <x:c r="A558" s="9"/>
      <x:c r="B558" s="7"/>
      <x:c r="C558" s="7" t="str">
        <x:f>IF(B558="","",XLOOKUP(B558,Employees!$A$4:$A$53,Employees!$B$4:$B$53,""))</x:f>
      </x:c>
      <x:c r="D558" s="7"/>
      <x:c r="E558" s="10" t="n">
        <x:v>8</x:v>
      </x:c>
      <x:c r="F558" s="10"/>
      <x:c r="G558" s="10" t="str">
        <x:f>IF(F558="","",MIN(F558,E558))</x:f>
      </x:c>
      <x:c r="H558" s="10" t="str">
        <x:f>IF(F558="","",MAX(0,F558-E558))</x:f>
      </x:c>
      <x:c r="I558" s="24"/>
      <x:c r="J558" s="7"/>
      <x:c r="K558" s="8" t="str">
        <x:f>IF(A558="","",DATE(YEAR(A558),MONTH(A558),1))</x:f>
      </x:c>
    </x:row>
    <x:row r="559">
      <x:c r="A559" s="9"/>
      <x:c r="B559" s="7"/>
      <x:c r="C559" s="7" t="str">
        <x:f>IF(B559="","",XLOOKUP(B559,Employees!$A$4:$A$53,Employees!$B$4:$B$53,""))</x:f>
      </x:c>
      <x:c r="D559" s="7"/>
      <x:c r="E559" s="10" t="n">
        <x:v>8</x:v>
      </x:c>
      <x:c r="F559" s="10"/>
      <x:c r="G559" s="10" t="str">
        <x:f>IF(F559="","",MIN(F559,E559))</x:f>
      </x:c>
      <x:c r="H559" s="10" t="str">
        <x:f>IF(F559="","",MAX(0,F559-E559))</x:f>
      </x:c>
      <x:c r="I559" s="24"/>
      <x:c r="J559" s="7"/>
      <x:c r="K559" s="8" t="str">
        <x:f>IF(A559="","",DATE(YEAR(A559),MONTH(A559),1))</x:f>
      </x:c>
    </x:row>
    <x:row r="560">
      <x:c r="A560" s="9"/>
      <x:c r="B560" s="7"/>
      <x:c r="C560" s="7" t="str">
        <x:f>IF(B560="","",XLOOKUP(B560,Employees!$A$4:$A$53,Employees!$B$4:$B$53,""))</x:f>
      </x:c>
      <x:c r="D560" s="7"/>
      <x:c r="E560" s="10" t="n">
        <x:v>8</x:v>
      </x:c>
      <x:c r="F560" s="10"/>
      <x:c r="G560" s="10" t="str">
        <x:f>IF(F560="","",MIN(F560,E560))</x:f>
      </x:c>
      <x:c r="H560" s="10" t="str">
        <x:f>IF(F560="","",MAX(0,F560-E560))</x:f>
      </x:c>
      <x:c r="I560" s="24"/>
      <x:c r="J560" s="7"/>
      <x:c r="K560" s="8" t="str">
        <x:f>IF(A560="","",DATE(YEAR(A560),MONTH(A560),1))</x:f>
      </x:c>
    </x:row>
    <x:row r="561">
      <x:c r="A561" s="9"/>
      <x:c r="B561" s="7"/>
      <x:c r="C561" s="7" t="str">
        <x:f>IF(B561="","",XLOOKUP(B561,Employees!$A$4:$A$53,Employees!$B$4:$B$53,""))</x:f>
      </x:c>
      <x:c r="D561" s="7"/>
      <x:c r="E561" s="10" t="n">
        <x:v>8</x:v>
      </x:c>
      <x:c r="F561" s="10"/>
      <x:c r="G561" s="10" t="str">
        <x:f>IF(F561="","",MIN(F561,E561))</x:f>
      </x:c>
      <x:c r="H561" s="10" t="str">
        <x:f>IF(F561="","",MAX(0,F561-E561))</x:f>
      </x:c>
      <x:c r="I561" s="24"/>
      <x:c r="J561" s="7"/>
      <x:c r="K561" s="8" t="str">
        <x:f>IF(A561="","",DATE(YEAR(A561),MONTH(A561),1))</x:f>
      </x:c>
    </x:row>
    <x:row r="562">
      <x:c r="A562" s="9"/>
      <x:c r="B562" s="7"/>
      <x:c r="C562" s="7" t="str">
        <x:f>IF(B562="","",XLOOKUP(B562,Employees!$A$4:$A$53,Employees!$B$4:$B$53,""))</x:f>
      </x:c>
      <x:c r="D562" s="7"/>
      <x:c r="E562" s="10" t="n">
        <x:v>8</x:v>
      </x:c>
      <x:c r="F562" s="10"/>
      <x:c r="G562" s="10" t="str">
        <x:f>IF(F562="","",MIN(F562,E562))</x:f>
      </x:c>
      <x:c r="H562" s="10" t="str">
        <x:f>IF(F562="","",MAX(0,F562-E562))</x:f>
      </x:c>
      <x:c r="I562" s="24"/>
      <x:c r="J562" s="7"/>
      <x:c r="K562" s="8" t="str">
        <x:f>IF(A562="","",DATE(YEAR(A562),MONTH(A562),1))</x:f>
      </x:c>
    </x:row>
    <x:row r="563">
      <x:c r="A563" s="9"/>
      <x:c r="B563" s="7"/>
      <x:c r="C563" s="7" t="str">
        <x:f>IF(B563="","",XLOOKUP(B563,Employees!$A$4:$A$53,Employees!$B$4:$B$53,""))</x:f>
      </x:c>
      <x:c r="D563" s="7"/>
      <x:c r="E563" s="10" t="n">
        <x:v>8</x:v>
      </x:c>
      <x:c r="F563" s="10"/>
      <x:c r="G563" s="10" t="str">
        <x:f>IF(F563="","",MIN(F563,E563))</x:f>
      </x:c>
      <x:c r="H563" s="10" t="str">
        <x:f>IF(F563="","",MAX(0,F563-E563))</x:f>
      </x:c>
      <x:c r="I563" s="24"/>
      <x:c r="J563" s="7"/>
      <x:c r="K563" s="8" t="str">
        <x:f>IF(A563="","",DATE(YEAR(A563),MONTH(A563),1))</x:f>
      </x:c>
    </x:row>
    <x:row r="564">
      <x:c r="A564" s="9"/>
      <x:c r="B564" s="7"/>
      <x:c r="C564" s="7" t="str">
        <x:f>IF(B564="","",XLOOKUP(B564,Employees!$A$4:$A$53,Employees!$B$4:$B$53,""))</x:f>
      </x:c>
      <x:c r="D564" s="7"/>
      <x:c r="E564" s="10" t="n">
        <x:v>8</x:v>
      </x:c>
      <x:c r="F564" s="10"/>
      <x:c r="G564" s="10" t="str">
        <x:f>IF(F564="","",MIN(F564,E564))</x:f>
      </x:c>
      <x:c r="H564" s="10" t="str">
        <x:f>IF(F564="","",MAX(0,F564-E564))</x:f>
      </x:c>
      <x:c r="I564" s="24"/>
      <x:c r="J564" s="7"/>
      <x:c r="K564" s="8" t="str">
        <x:f>IF(A564="","",DATE(YEAR(A564),MONTH(A564),1))</x:f>
      </x:c>
    </x:row>
    <x:row r="565">
      <x:c r="A565" s="9"/>
      <x:c r="B565" s="7"/>
      <x:c r="C565" s="7" t="str">
        <x:f>IF(B565="","",XLOOKUP(B565,Employees!$A$4:$A$53,Employees!$B$4:$B$53,""))</x:f>
      </x:c>
      <x:c r="D565" s="7"/>
      <x:c r="E565" s="10" t="n">
        <x:v>8</x:v>
      </x:c>
      <x:c r="F565" s="10"/>
      <x:c r="G565" s="10" t="str">
        <x:f>IF(F565="","",MIN(F565,E565))</x:f>
      </x:c>
      <x:c r="H565" s="10" t="str">
        <x:f>IF(F565="","",MAX(0,F565-E565))</x:f>
      </x:c>
      <x:c r="I565" s="24"/>
      <x:c r="J565" s="7"/>
      <x:c r="K565" s="8" t="str">
        <x:f>IF(A565="","",DATE(YEAR(A565),MONTH(A565),1))</x:f>
      </x:c>
    </x:row>
    <x:row r="566">
      <x:c r="A566" s="9"/>
      <x:c r="B566" s="7"/>
      <x:c r="C566" s="7" t="str">
        <x:f>IF(B566="","",XLOOKUP(B566,Employees!$A$4:$A$53,Employees!$B$4:$B$53,""))</x:f>
      </x:c>
      <x:c r="D566" s="7"/>
      <x:c r="E566" s="10" t="n">
        <x:v>8</x:v>
      </x:c>
      <x:c r="F566" s="10"/>
      <x:c r="G566" s="10" t="str">
        <x:f>IF(F566="","",MIN(F566,E566))</x:f>
      </x:c>
      <x:c r="H566" s="10" t="str">
        <x:f>IF(F566="","",MAX(0,F566-E566))</x:f>
      </x:c>
      <x:c r="I566" s="24"/>
      <x:c r="J566" s="7"/>
      <x:c r="K566" s="8" t="str">
        <x:f>IF(A566="","",DATE(YEAR(A566),MONTH(A566),1))</x:f>
      </x:c>
    </x:row>
    <x:row r="567">
      <x:c r="A567" s="9"/>
      <x:c r="B567" s="7"/>
      <x:c r="C567" s="7" t="str">
        <x:f>IF(B567="","",XLOOKUP(B567,Employees!$A$4:$A$53,Employees!$B$4:$B$53,""))</x:f>
      </x:c>
      <x:c r="D567" s="7"/>
      <x:c r="E567" s="10" t="n">
        <x:v>8</x:v>
      </x:c>
      <x:c r="F567" s="10"/>
      <x:c r="G567" s="10" t="str">
        <x:f>IF(F567="","",MIN(F567,E567))</x:f>
      </x:c>
      <x:c r="H567" s="10" t="str">
        <x:f>IF(F567="","",MAX(0,F567-E567))</x:f>
      </x:c>
      <x:c r="I567" s="24"/>
      <x:c r="J567" s="7"/>
      <x:c r="K567" s="8" t="str">
        <x:f>IF(A567="","",DATE(YEAR(A567),MONTH(A567),1))</x:f>
      </x:c>
    </x:row>
    <x:row r="568">
      <x:c r="A568" s="9"/>
      <x:c r="B568" s="7"/>
      <x:c r="C568" s="7" t="str">
        <x:f>IF(B568="","",XLOOKUP(B568,Employees!$A$4:$A$53,Employees!$B$4:$B$53,""))</x:f>
      </x:c>
      <x:c r="D568" s="7"/>
      <x:c r="E568" s="10" t="n">
        <x:v>8</x:v>
      </x:c>
      <x:c r="F568" s="10"/>
      <x:c r="G568" s="10" t="str">
        <x:f>IF(F568="","",MIN(F568,E568))</x:f>
      </x:c>
      <x:c r="H568" s="10" t="str">
        <x:f>IF(F568="","",MAX(0,F568-E568))</x:f>
      </x:c>
      <x:c r="I568" s="24"/>
      <x:c r="J568" s="7"/>
      <x:c r="K568" s="8" t="str">
        <x:f>IF(A568="","",DATE(YEAR(A568),MONTH(A568),1))</x:f>
      </x:c>
    </x:row>
    <x:row r="569">
      <x:c r="A569" s="9"/>
      <x:c r="B569" s="7"/>
      <x:c r="C569" s="7" t="str">
        <x:f>IF(B569="","",XLOOKUP(B569,Employees!$A$4:$A$53,Employees!$B$4:$B$53,""))</x:f>
      </x:c>
      <x:c r="D569" s="7"/>
      <x:c r="E569" s="10" t="n">
        <x:v>8</x:v>
      </x:c>
      <x:c r="F569" s="10"/>
      <x:c r="G569" s="10" t="str">
        <x:f>IF(F569="","",MIN(F569,E569))</x:f>
      </x:c>
      <x:c r="H569" s="10" t="str">
        <x:f>IF(F569="","",MAX(0,F569-E569))</x:f>
      </x:c>
      <x:c r="I569" s="24"/>
      <x:c r="J569" s="7"/>
      <x:c r="K569" s="8" t="str">
        <x:f>IF(A569="","",DATE(YEAR(A569),MONTH(A569),1))</x:f>
      </x:c>
    </x:row>
    <x:row r="570">
      <x:c r="A570" s="9"/>
      <x:c r="B570" s="7"/>
      <x:c r="C570" s="7" t="str">
        <x:f>IF(B570="","",XLOOKUP(B570,Employees!$A$4:$A$53,Employees!$B$4:$B$53,""))</x:f>
      </x:c>
      <x:c r="D570" s="7"/>
      <x:c r="E570" s="10" t="n">
        <x:v>8</x:v>
      </x:c>
      <x:c r="F570" s="10"/>
      <x:c r="G570" s="10" t="str">
        <x:f>IF(F570="","",MIN(F570,E570))</x:f>
      </x:c>
      <x:c r="H570" s="10" t="str">
        <x:f>IF(F570="","",MAX(0,F570-E570))</x:f>
      </x:c>
      <x:c r="I570" s="24"/>
      <x:c r="J570" s="7"/>
      <x:c r="K570" s="8" t="str">
        <x:f>IF(A570="","",DATE(YEAR(A570),MONTH(A570),1))</x:f>
      </x:c>
    </x:row>
    <x:row r="571">
      <x:c r="A571" s="9"/>
      <x:c r="B571" s="7"/>
      <x:c r="C571" s="7" t="str">
        <x:f>IF(B571="","",XLOOKUP(B571,Employees!$A$4:$A$53,Employees!$B$4:$B$53,""))</x:f>
      </x:c>
      <x:c r="D571" s="7"/>
      <x:c r="E571" s="10" t="n">
        <x:v>8</x:v>
      </x:c>
      <x:c r="F571" s="10"/>
      <x:c r="G571" s="10" t="str">
        <x:f>IF(F571="","",MIN(F571,E571))</x:f>
      </x:c>
      <x:c r="H571" s="10" t="str">
        <x:f>IF(F571="","",MAX(0,F571-E571))</x:f>
      </x:c>
      <x:c r="I571" s="24"/>
      <x:c r="J571" s="7"/>
      <x:c r="K571" s="8" t="str">
        <x:f>IF(A571="","",DATE(YEAR(A571),MONTH(A571),1))</x:f>
      </x:c>
    </x:row>
    <x:row r="572">
      <x:c r="A572" s="9"/>
      <x:c r="B572" s="7"/>
      <x:c r="C572" s="7" t="str">
        <x:f>IF(B572="","",XLOOKUP(B572,Employees!$A$4:$A$53,Employees!$B$4:$B$53,""))</x:f>
      </x:c>
      <x:c r="D572" s="7"/>
      <x:c r="E572" s="10" t="n">
        <x:v>8</x:v>
      </x:c>
      <x:c r="F572" s="10"/>
      <x:c r="G572" s="10" t="str">
        <x:f>IF(F572="","",MIN(F572,E572))</x:f>
      </x:c>
      <x:c r="H572" s="10" t="str">
        <x:f>IF(F572="","",MAX(0,F572-E572))</x:f>
      </x:c>
      <x:c r="I572" s="24"/>
      <x:c r="J572" s="7"/>
      <x:c r="K572" s="8" t="str">
        <x:f>IF(A572="","",DATE(YEAR(A572),MONTH(A572),1))</x:f>
      </x:c>
    </x:row>
    <x:row r="573">
      <x:c r="A573" s="9"/>
      <x:c r="B573" s="7"/>
      <x:c r="C573" s="7" t="str">
        <x:f>IF(B573="","",XLOOKUP(B573,Employees!$A$4:$A$53,Employees!$B$4:$B$53,""))</x:f>
      </x:c>
      <x:c r="D573" s="7"/>
      <x:c r="E573" s="10" t="n">
        <x:v>8</x:v>
      </x:c>
      <x:c r="F573" s="10"/>
      <x:c r="G573" s="10" t="str">
        <x:f>IF(F573="","",MIN(F573,E573))</x:f>
      </x:c>
      <x:c r="H573" s="10" t="str">
        <x:f>IF(F573="","",MAX(0,F573-E573))</x:f>
      </x:c>
      <x:c r="I573" s="24"/>
      <x:c r="J573" s="7"/>
      <x:c r="K573" s="8" t="str">
        <x:f>IF(A573="","",DATE(YEAR(A573),MONTH(A573),1))</x:f>
      </x:c>
    </x:row>
    <x:row r="574">
      <x:c r="A574" s="9"/>
      <x:c r="B574" s="7"/>
      <x:c r="C574" s="7" t="str">
        <x:f>IF(B574="","",XLOOKUP(B574,Employees!$A$4:$A$53,Employees!$B$4:$B$53,""))</x:f>
      </x:c>
      <x:c r="D574" s="7"/>
      <x:c r="E574" s="10" t="n">
        <x:v>8</x:v>
      </x:c>
      <x:c r="F574" s="10"/>
      <x:c r="G574" s="10" t="str">
        <x:f>IF(F574="","",MIN(F574,E574))</x:f>
      </x:c>
      <x:c r="H574" s="10" t="str">
        <x:f>IF(F574="","",MAX(0,F574-E574))</x:f>
      </x:c>
      <x:c r="I574" s="24"/>
      <x:c r="J574" s="7"/>
      <x:c r="K574" s="8" t="str">
        <x:f>IF(A574="","",DATE(YEAR(A574),MONTH(A574),1))</x:f>
      </x:c>
    </x:row>
    <x:row r="575">
      <x:c r="A575" s="9"/>
      <x:c r="B575" s="7"/>
      <x:c r="C575" s="7" t="str">
        <x:f>IF(B575="","",XLOOKUP(B575,Employees!$A$4:$A$53,Employees!$B$4:$B$53,""))</x:f>
      </x:c>
      <x:c r="D575" s="7"/>
      <x:c r="E575" s="10" t="n">
        <x:v>8</x:v>
      </x:c>
      <x:c r="F575" s="10"/>
      <x:c r="G575" s="10" t="str">
        <x:f>IF(F575="","",MIN(F575,E575))</x:f>
      </x:c>
      <x:c r="H575" s="10" t="str">
        <x:f>IF(F575="","",MAX(0,F575-E575))</x:f>
      </x:c>
      <x:c r="I575" s="24"/>
      <x:c r="J575" s="7"/>
      <x:c r="K575" s="8" t="str">
        <x:f>IF(A575="","",DATE(YEAR(A575),MONTH(A575),1))</x:f>
      </x:c>
    </x:row>
    <x:row r="576">
      <x:c r="A576" s="9"/>
      <x:c r="B576" s="7"/>
      <x:c r="C576" s="7" t="str">
        <x:f>IF(B576="","",XLOOKUP(B576,Employees!$A$4:$A$53,Employees!$B$4:$B$53,""))</x:f>
      </x:c>
      <x:c r="D576" s="7"/>
      <x:c r="E576" s="10" t="n">
        <x:v>8</x:v>
      </x:c>
      <x:c r="F576" s="10"/>
      <x:c r="G576" s="10" t="str">
        <x:f>IF(F576="","",MIN(F576,E576))</x:f>
      </x:c>
      <x:c r="H576" s="10" t="str">
        <x:f>IF(F576="","",MAX(0,F576-E576))</x:f>
      </x:c>
      <x:c r="I576" s="24"/>
      <x:c r="J576" s="7"/>
      <x:c r="K576" s="8" t="str">
        <x:f>IF(A576="","",DATE(YEAR(A576),MONTH(A576),1))</x:f>
      </x:c>
    </x:row>
    <x:row r="577">
      <x:c r="A577" s="9"/>
      <x:c r="B577" s="7"/>
      <x:c r="C577" s="7" t="str">
        <x:f>IF(B577="","",XLOOKUP(B577,Employees!$A$4:$A$53,Employees!$B$4:$B$53,""))</x:f>
      </x:c>
      <x:c r="D577" s="7"/>
      <x:c r="E577" s="10" t="n">
        <x:v>8</x:v>
      </x:c>
      <x:c r="F577" s="10"/>
      <x:c r="G577" s="10" t="str">
        <x:f>IF(F577="","",MIN(F577,E577))</x:f>
      </x:c>
      <x:c r="H577" s="10" t="str">
        <x:f>IF(F577="","",MAX(0,F577-E577))</x:f>
      </x:c>
      <x:c r="I577" s="24"/>
      <x:c r="J577" s="7"/>
      <x:c r="K577" s="8" t="str">
        <x:f>IF(A577="","",DATE(YEAR(A577),MONTH(A577),1))</x:f>
      </x:c>
    </x:row>
    <x:row r="578">
      <x:c r="A578" s="9"/>
      <x:c r="B578" s="7"/>
      <x:c r="C578" s="7" t="str">
        <x:f>IF(B578="","",XLOOKUP(B578,Employees!$A$4:$A$53,Employees!$B$4:$B$53,""))</x:f>
      </x:c>
      <x:c r="D578" s="7"/>
      <x:c r="E578" s="10" t="n">
        <x:v>8</x:v>
      </x:c>
      <x:c r="F578" s="10"/>
      <x:c r="G578" s="10" t="str">
        <x:f>IF(F578="","",MIN(F578,E578))</x:f>
      </x:c>
      <x:c r="H578" s="10" t="str">
        <x:f>IF(F578="","",MAX(0,F578-E578))</x:f>
      </x:c>
      <x:c r="I578" s="24"/>
      <x:c r="J578" s="7"/>
      <x:c r="K578" s="8" t="str">
        <x:f>IF(A578="","",DATE(YEAR(A578),MONTH(A578),1))</x:f>
      </x:c>
    </x:row>
    <x:row r="579">
      <x:c r="A579" s="9"/>
      <x:c r="B579" s="7"/>
      <x:c r="C579" s="7" t="str">
        <x:f>IF(B579="","",XLOOKUP(B579,Employees!$A$4:$A$53,Employees!$B$4:$B$53,""))</x:f>
      </x:c>
      <x:c r="D579" s="7"/>
      <x:c r="E579" s="10" t="n">
        <x:v>8</x:v>
      </x:c>
      <x:c r="F579" s="10"/>
      <x:c r="G579" s="10" t="str">
        <x:f>IF(F579="","",MIN(F579,E579))</x:f>
      </x:c>
      <x:c r="H579" s="10" t="str">
        <x:f>IF(F579="","",MAX(0,F579-E579))</x:f>
      </x:c>
      <x:c r="I579" s="24"/>
      <x:c r="J579" s="7"/>
      <x:c r="K579" s="8" t="str">
        <x:f>IF(A579="","",DATE(YEAR(A579),MONTH(A579),1))</x:f>
      </x:c>
    </x:row>
    <x:row r="580">
      <x:c r="A580" s="9"/>
      <x:c r="B580" s="7"/>
      <x:c r="C580" s="7" t="str">
        <x:f>IF(B580="","",XLOOKUP(B580,Employees!$A$4:$A$53,Employees!$B$4:$B$53,""))</x:f>
      </x:c>
      <x:c r="D580" s="7"/>
      <x:c r="E580" s="10" t="n">
        <x:v>8</x:v>
      </x:c>
      <x:c r="F580" s="10"/>
      <x:c r="G580" s="10" t="str">
        <x:f>IF(F580="","",MIN(F580,E580))</x:f>
      </x:c>
      <x:c r="H580" s="10" t="str">
        <x:f>IF(F580="","",MAX(0,F580-E580))</x:f>
      </x:c>
      <x:c r="I580" s="24"/>
      <x:c r="J580" s="7"/>
      <x:c r="K580" s="8" t="str">
        <x:f>IF(A580="","",DATE(YEAR(A580),MONTH(A580),1))</x:f>
      </x:c>
    </x:row>
    <x:row r="581">
      <x:c r="A581" s="9"/>
      <x:c r="B581" s="7"/>
      <x:c r="C581" s="7" t="str">
        <x:f>IF(B581="","",XLOOKUP(B581,Employees!$A$4:$A$53,Employees!$B$4:$B$53,""))</x:f>
      </x:c>
      <x:c r="D581" s="7"/>
      <x:c r="E581" s="10" t="n">
        <x:v>8</x:v>
      </x:c>
      <x:c r="F581" s="10"/>
      <x:c r="G581" s="10" t="str">
        <x:f>IF(F581="","",MIN(F581,E581))</x:f>
      </x:c>
      <x:c r="H581" s="10" t="str">
        <x:f>IF(F581="","",MAX(0,F581-E581))</x:f>
      </x:c>
      <x:c r="I581" s="24"/>
      <x:c r="J581" s="7"/>
      <x:c r="K581" s="8" t="str">
        <x:f>IF(A581="","",DATE(YEAR(A581),MONTH(A581),1))</x:f>
      </x:c>
    </x:row>
    <x:row r="582">
      <x:c r="A582" s="9"/>
      <x:c r="B582" s="7"/>
      <x:c r="C582" s="7" t="str">
        <x:f>IF(B582="","",XLOOKUP(B582,Employees!$A$4:$A$53,Employees!$B$4:$B$53,""))</x:f>
      </x:c>
      <x:c r="D582" s="7"/>
      <x:c r="E582" s="10" t="n">
        <x:v>8</x:v>
      </x:c>
      <x:c r="F582" s="10"/>
      <x:c r="G582" s="10" t="str">
        <x:f>IF(F582="","",MIN(F582,E582))</x:f>
      </x:c>
      <x:c r="H582" s="10" t="str">
        <x:f>IF(F582="","",MAX(0,F582-E582))</x:f>
      </x:c>
      <x:c r="I582" s="24"/>
      <x:c r="J582" s="7"/>
      <x:c r="K582" s="8" t="str">
        <x:f>IF(A582="","",DATE(YEAR(A582),MONTH(A582),1))</x:f>
      </x:c>
    </x:row>
    <x:row r="583">
      <x:c r="A583" s="9"/>
      <x:c r="B583" s="7"/>
      <x:c r="C583" s="7" t="str">
        <x:f>IF(B583="","",XLOOKUP(B583,Employees!$A$4:$A$53,Employees!$B$4:$B$53,""))</x:f>
      </x:c>
      <x:c r="D583" s="7"/>
      <x:c r="E583" s="10" t="n">
        <x:v>8</x:v>
      </x:c>
      <x:c r="F583" s="10"/>
      <x:c r="G583" s="10" t="str">
        <x:f>IF(F583="","",MIN(F583,E583))</x:f>
      </x:c>
      <x:c r="H583" s="10" t="str">
        <x:f>IF(F583="","",MAX(0,F583-E583))</x:f>
      </x:c>
      <x:c r="I583" s="24"/>
      <x:c r="J583" s="7"/>
      <x:c r="K583" s="8" t="str">
        <x:f>IF(A583="","",DATE(YEAR(A583),MONTH(A583),1))</x:f>
      </x:c>
    </x:row>
    <x:row r="584">
      <x:c r="A584" s="9"/>
      <x:c r="B584" s="7"/>
      <x:c r="C584" s="7" t="str">
        <x:f>IF(B584="","",XLOOKUP(B584,Employees!$A$4:$A$53,Employees!$B$4:$B$53,""))</x:f>
      </x:c>
      <x:c r="D584" s="7"/>
      <x:c r="E584" s="10" t="n">
        <x:v>8</x:v>
      </x:c>
      <x:c r="F584" s="10"/>
      <x:c r="G584" s="10" t="str">
        <x:f>IF(F584="","",MIN(F584,E584))</x:f>
      </x:c>
      <x:c r="H584" s="10" t="str">
        <x:f>IF(F584="","",MAX(0,F584-E584))</x:f>
      </x:c>
      <x:c r="I584" s="24"/>
      <x:c r="J584" s="7"/>
      <x:c r="K584" s="8" t="str">
        <x:f>IF(A584="","",DATE(YEAR(A584),MONTH(A584),1))</x:f>
      </x:c>
    </x:row>
    <x:row r="585">
      <x:c r="A585" s="9"/>
      <x:c r="B585" s="7"/>
      <x:c r="C585" s="7" t="str">
        <x:f>IF(B585="","",XLOOKUP(B585,Employees!$A$4:$A$53,Employees!$B$4:$B$53,""))</x:f>
      </x:c>
      <x:c r="D585" s="7"/>
      <x:c r="E585" s="10" t="n">
        <x:v>8</x:v>
      </x:c>
      <x:c r="F585" s="10"/>
      <x:c r="G585" s="10" t="str">
        <x:f>IF(F585="","",MIN(F585,E585))</x:f>
      </x:c>
      <x:c r="H585" s="10" t="str">
        <x:f>IF(F585="","",MAX(0,F585-E585))</x:f>
      </x:c>
      <x:c r="I585" s="24"/>
      <x:c r="J585" s="7"/>
      <x:c r="K585" s="8" t="str">
        <x:f>IF(A585="","",DATE(YEAR(A585),MONTH(A585),1))</x:f>
      </x:c>
    </x:row>
    <x:row r="586">
      <x:c r="A586" s="9"/>
      <x:c r="B586" s="7"/>
      <x:c r="C586" s="7" t="str">
        <x:f>IF(B586="","",XLOOKUP(B586,Employees!$A$4:$A$53,Employees!$B$4:$B$53,""))</x:f>
      </x:c>
      <x:c r="D586" s="7"/>
      <x:c r="E586" s="10" t="n">
        <x:v>8</x:v>
      </x:c>
      <x:c r="F586" s="10"/>
      <x:c r="G586" s="10" t="str">
        <x:f>IF(F586="","",MIN(F586,E586))</x:f>
      </x:c>
      <x:c r="H586" s="10" t="str">
        <x:f>IF(F586="","",MAX(0,F586-E586))</x:f>
      </x:c>
      <x:c r="I586" s="24"/>
      <x:c r="J586" s="7"/>
      <x:c r="K586" s="8" t="str">
        <x:f>IF(A586="","",DATE(YEAR(A586),MONTH(A586),1))</x:f>
      </x:c>
    </x:row>
    <x:row r="587">
      <x:c r="A587" s="9"/>
      <x:c r="B587" s="7"/>
      <x:c r="C587" s="7" t="str">
        <x:f>IF(B587="","",XLOOKUP(B587,Employees!$A$4:$A$53,Employees!$B$4:$B$53,""))</x:f>
      </x:c>
      <x:c r="D587" s="7"/>
      <x:c r="E587" s="10" t="n">
        <x:v>8</x:v>
      </x:c>
      <x:c r="F587" s="10"/>
      <x:c r="G587" s="10" t="str">
        <x:f>IF(F587="","",MIN(F587,E587))</x:f>
      </x:c>
      <x:c r="H587" s="10" t="str">
        <x:f>IF(F587="","",MAX(0,F587-E587))</x:f>
      </x:c>
      <x:c r="I587" s="24"/>
      <x:c r="J587" s="7"/>
      <x:c r="K587" s="8" t="str">
        <x:f>IF(A587="","",DATE(YEAR(A587),MONTH(A587),1))</x:f>
      </x:c>
    </x:row>
    <x:row r="588">
      <x:c r="A588" s="9"/>
      <x:c r="B588" s="7"/>
      <x:c r="C588" s="7" t="str">
        <x:f>IF(B588="","",XLOOKUP(B588,Employees!$A$4:$A$53,Employees!$B$4:$B$53,""))</x:f>
      </x:c>
      <x:c r="D588" s="7"/>
      <x:c r="E588" s="10" t="n">
        <x:v>8</x:v>
      </x:c>
      <x:c r="F588" s="10"/>
      <x:c r="G588" s="10" t="str">
        <x:f>IF(F588="","",MIN(F588,E588))</x:f>
      </x:c>
      <x:c r="H588" s="10" t="str">
        <x:f>IF(F588="","",MAX(0,F588-E588))</x:f>
      </x:c>
      <x:c r="I588" s="24"/>
      <x:c r="J588" s="7"/>
      <x:c r="K588" s="8" t="str">
        <x:f>IF(A588="","",DATE(YEAR(A588),MONTH(A588),1))</x:f>
      </x:c>
    </x:row>
    <x:row r="589">
      <x:c r="A589" s="9"/>
      <x:c r="B589" s="7"/>
      <x:c r="C589" s="7" t="str">
        <x:f>IF(B589="","",XLOOKUP(B589,Employees!$A$4:$A$53,Employees!$B$4:$B$53,""))</x:f>
      </x:c>
      <x:c r="D589" s="7"/>
      <x:c r="E589" s="10" t="n">
        <x:v>8</x:v>
      </x:c>
      <x:c r="F589" s="10"/>
      <x:c r="G589" s="10" t="str">
        <x:f>IF(F589="","",MIN(F589,E589))</x:f>
      </x:c>
      <x:c r="H589" s="10" t="str">
        <x:f>IF(F589="","",MAX(0,F589-E589))</x:f>
      </x:c>
      <x:c r="I589" s="24"/>
      <x:c r="J589" s="7"/>
      <x:c r="K589" s="8" t="str">
        <x:f>IF(A589="","",DATE(YEAR(A589),MONTH(A589),1))</x:f>
      </x:c>
    </x:row>
    <x:row r="590">
      <x:c r="A590" s="9"/>
      <x:c r="B590" s="7"/>
      <x:c r="C590" s="7" t="str">
        <x:f>IF(B590="","",XLOOKUP(B590,Employees!$A$4:$A$53,Employees!$B$4:$B$53,""))</x:f>
      </x:c>
      <x:c r="D590" s="7"/>
      <x:c r="E590" s="10" t="n">
        <x:v>8</x:v>
      </x:c>
      <x:c r="F590" s="10"/>
      <x:c r="G590" s="10" t="str">
        <x:f>IF(F590="","",MIN(F590,E590))</x:f>
      </x:c>
      <x:c r="H590" s="10" t="str">
        <x:f>IF(F590="","",MAX(0,F590-E590))</x:f>
      </x:c>
      <x:c r="I590" s="24"/>
      <x:c r="J590" s="7"/>
      <x:c r="K590" s="8" t="str">
        <x:f>IF(A590="","",DATE(YEAR(A590),MONTH(A590),1))</x:f>
      </x:c>
    </x:row>
    <x:row r="591">
      <x:c r="A591" s="9"/>
      <x:c r="B591" s="7"/>
      <x:c r="C591" s="7" t="str">
        <x:f>IF(B591="","",XLOOKUP(B591,Employees!$A$4:$A$53,Employees!$B$4:$B$53,""))</x:f>
      </x:c>
      <x:c r="D591" s="7"/>
      <x:c r="E591" s="10" t="n">
        <x:v>8</x:v>
      </x:c>
      <x:c r="F591" s="10"/>
      <x:c r="G591" s="10" t="str">
        <x:f>IF(F591="","",MIN(F591,E591))</x:f>
      </x:c>
      <x:c r="H591" s="10" t="str">
        <x:f>IF(F591="","",MAX(0,F591-E591))</x:f>
      </x:c>
      <x:c r="I591" s="24"/>
      <x:c r="J591" s="7"/>
      <x:c r="K591" s="8" t="str">
        <x:f>IF(A591="","",DATE(YEAR(A591),MONTH(A591),1))</x:f>
      </x:c>
    </x:row>
    <x:row r="592">
      <x:c r="A592" s="9"/>
      <x:c r="B592" s="7"/>
      <x:c r="C592" s="7" t="str">
        <x:f>IF(B592="","",XLOOKUP(B592,Employees!$A$4:$A$53,Employees!$B$4:$B$53,""))</x:f>
      </x:c>
      <x:c r="D592" s="7"/>
      <x:c r="E592" s="10" t="n">
        <x:v>8</x:v>
      </x:c>
      <x:c r="F592" s="10"/>
      <x:c r="G592" s="10" t="str">
        <x:f>IF(F592="","",MIN(F592,E592))</x:f>
      </x:c>
      <x:c r="H592" s="10" t="str">
        <x:f>IF(F592="","",MAX(0,F592-E592))</x:f>
      </x:c>
      <x:c r="I592" s="24"/>
      <x:c r="J592" s="7"/>
      <x:c r="K592" s="8" t="str">
        <x:f>IF(A592="","",DATE(YEAR(A592),MONTH(A592),1))</x:f>
      </x:c>
    </x:row>
    <x:row r="593">
      <x:c r="A593" s="9"/>
      <x:c r="B593" s="7"/>
      <x:c r="C593" s="7" t="str">
        <x:f>IF(B593="","",XLOOKUP(B593,Employees!$A$4:$A$53,Employees!$B$4:$B$53,""))</x:f>
      </x:c>
      <x:c r="D593" s="7"/>
      <x:c r="E593" s="10" t="n">
        <x:v>8</x:v>
      </x:c>
      <x:c r="F593" s="10"/>
      <x:c r="G593" s="10" t="str">
        <x:f>IF(F593="","",MIN(F593,E593))</x:f>
      </x:c>
      <x:c r="H593" s="10" t="str">
        <x:f>IF(F593="","",MAX(0,F593-E593))</x:f>
      </x:c>
      <x:c r="I593" s="24"/>
      <x:c r="J593" s="7"/>
      <x:c r="K593" s="8" t="str">
        <x:f>IF(A593="","",DATE(YEAR(A593),MONTH(A593),1))</x:f>
      </x:c>
    </x:row>
    <x:row r="594">
      <x:c r="A594" s="9"/>
      <x:c r="B594" s="7"/>
      <x:c r="C594" s="7" t="str">
        <x:f>IF(B594="","",XLOOKUP(B594,Employees!$A$4:$A$53,Employees!$B$4:$B$53,""))</x:f>
      </x:c>
      <x:c r="D594" s="7"/>
      <x:c r="E594" s="10" t="n">
        <x:v>8</x:v>
      </x:c>
      <x:c r="F594" s="10"/>
      <x:c r="G594" s="10" t="str">
        <x:f>IF(F594="","",MIN(F594,E594))</x:f>
      </x:c>
      <x:c r="H594" s="10" t="str">
        <x:f>IF(F594="","",MAX(0,F594-E594))</x:f>
      </x:c>
      <x:c r="I594" s="24"/>
      <x:c r="J594" s="7"/>
      <x:c r="K594" s="8" t="str">
        <x:f>IF(A594="","",DATE(YEAR(A594),MONTH(A594),1))</x:f>
      </x:c>
    </x:row>
    <x:row r="595">
      <x:c r="A595" s="9"/>
      <x:c r="B595" s="7"/>
      <x:c r="C595" s="7" t="str">
        <x:f>IF(B595="","",XLOOKUP(B595,Employees!$A$4:$A$53,Employees!$B$4:$B$53,""))</x:f>
      </x:c>
      <x:c r="D595" s="7"/>
      <x:c r="E595" s="10" t="n">
        <x:v>8</x:v>
      </x:c>
      <x:c r="F595" s="10"/>
      <x:c r="G595" s="10" t="str">
        <x:f>IF(F595="","",MIN(F595,E595))</x:f>
      </x:c>
      <x:c r="H595" s="10" t="str">
        <x:f>IF(F595="","",MAX(0,F595-E595))</x:f>
      </x:c>
      <x:c r="I595" s="24"/>
      <x:c r="J595" s="7"/>
      <x:c r="K595" s="8" t="str">
        <x:f>IF(A595="","",DATE(YEAR(A595),MONTH(A595),1))</x:f>
      </x:c>
    </x:row>
    <x:row r="596">
      <x:c r="A596" s="9"/>
      <x:c r="B596" s="7"/>
      <x:c r="C596" s="7" t="str">
        <x:f>IF(B596="","",XLOOKUP(B596,Employees!$A$4:$A$53,Employees!$B$4:$B$53,""))</x:f>
      </x:c>
      <x:c r="D596" s="7"/>
      <x:c r="E596" s="10" t="n">
        <x:v>8</x:v>
      </x:c>
      <x:c r="F596" s="10"/>
      <x:c r="G596" s="10" t="str">
        <x:f>IF(F596="","",MIN(F596,E596))</x:f>
      </x:c>
      <x:c r="H596" s="10" t="str">
        <x:f>IF(F596="","",MAX(0,F596-E596))</x:f>
      </x:c>
      <x:c r="I596" s="24"/>
      <x:c r="J596" s="7"/>
      <x:c r="K596" s="8" t="str">
        <x:f>IF(A596="","",DATE(YEAR(A596),MONTH(A596),1))</x:f>
      </x:c>
    </x:row>
    <x:row r="597">
      <x:c r="A597" s="9"/>
      <x:c r="B597" s="7"/>
      <x:c r="C597" s="7" t="str">
        <x:f>IF(B597="","",XLOOKUP(B597,Employees!$A$4:$A$53,Employees!$B$4:$B$53,""))</x:f>
      </x:c>
      <x:c r="D597" s="7"/>
      <x:c r="E597" s="10" t="n">
        <x:v>8</x:v>
      </x:c>
      <x:c r="F597" s="10"/>
      <x:c r="G597" s="10" t="str">
        <x:f>IF(F597="","",MIN(F597,E597))</x:f>
      </x:c>
      <x:c r="H597" s="10" t="str">
        <x:f>IF(F597="","",MAX(0,F597-E597))</x:f>
      </x:c>
      <x:c r="I597" s="24"/>
      <x:c r="J597" s="7"/>
      <x:c r="K597" s="8" t="str">
        <x:f>IF(A597="","",DATE(YEAR(A597),MONTH(A597),1))</x:f>
      </x:c>
    </x:row>
    <x:row r="598">
      <x:c r="A598" s="9"/>
      <x:c r="B598" s="7"/>
      <x:c r="C598" s="7" t="str">
        <x:f>IF(B598="","",XLOOKUP(B598,Employees!$A$4:$A$53,Employees!$B$4:$B$53,""))</x:f>
      </x:c>
      <x:c r="D598" s="7"/>
      <x:c r="E598" s="10" t="n">
        <x:v>8</x:v>
      </x:c>
      <x:c r="F598" s="10"/>
      <x:c r="G598" s="10" t="str">
        <x:f>IF(F598="","",MIN(F598,E598))</x:f>
      </x:c>
      <x:c r="H598" s="10" t="str">
        <x:f>IF(F598="","",MAX(0,F598-E598))</x:f>
      </x:c>
      <x:c r="I598" s="24"/>
      <x:c r="J598" s="7"/>
      <x:c r="K598" s="8" t="str">
        <x:f>IF(A598="","",DATE(YEAR(A598),MONTH(A598),1))</x:f>
      </x:c>
    </x:row>
    <x:row r="599">
      <x:c r="A599" s="9"/>
      <x:c r="B599" s="7"/>
      <x:c r="C599" s="7" t="str">
        <x:f>IF(B599="","",XLOOKUP(B599,Employees!$A$4:$A$53,Employees!$B$4:$B$53,""))</x:f>
      </x:c>
      <x:c r="D599" s="7"/>
      <x:c r="E599" s="10" t="n">
        <x:v>8</x:v>
      </x:c>
      <x:c r="F599" s="10"/>
      <x:c r="G599" s="10" t="str">
        <x:f>IF(F599="","",MIN(F599,E599))</x:f>
      </x:c>
      <x:c r="H599" s="10" t="str">
        <x:f>IF(F599="","",MAX(0,F599-E599))</x:f>
      </x:c>
      <x:c r="I599" s="24"/>
      <x:c r="J599" s="7"/>
      <x:c r="K599" s="8" t="str">
        <x:f>IF(A599="","",DATE(YEAR(A599),MONTH(A599),1))</x:f>
      </x:c>
    </x:row>
    <x:row r="600">
      <x:c r="A600" s="9"/>
      <x:c r="B600" s="7"/>
      <x:c r="C600" s="7" t="str">
        <x:f>IF(B600="","",XLOOKUP(B600,Employees!$A$4:$A$53,Employees!$B$4:$B$53,""))</x:f>
      </x:c>
      <x:c r="D600" s="7"/>
      <x:c r="E600" s="10" t="n">
        <x:v>8</x:v>
      </x:c>
      <x:c r="F600" s="10"/>
      <x:c r="G600" s="10" t="str">
        <x:f>IF(F600="","",MIN(F600,E600))</x:f>
      </x:c>
      <x:c r="H600" s="10" t="str">
        <x:f>IF(F600="","",MAX(0,F600-E600))</x:f>
      </x:c>
      <x:c r="I600" s="24"/>
      <x:c r="J600" s="7"/>
      <x:c r="K600" s="8" t="str">
        <x:f>IF(A600="","",DATE(YEAR(A600),MONTH(A600),1))</x:f>
      </x:c>
    </x:row>
    <x:row r="601">
      <x:c r="A601" s="9"/>
      <x:c r="B601" s="7"/>
      <x:c r="C601" s="7" t="str">
        <x:f>IF(B601="","",XLOOKUP(B601,Employees!$A$4:$A$53,Employees!$B$4:$B$53,""))</x:f>
      </x:c>
      <x:c r="D601" s="7"/>
      <x:c r="E601" s="10" t="n">
        <x:v>8</x:v>
      </x:c>
      <x:c r="F601" s="10"/>
      <x:c r="G601" s="10" t="str">
        <x:f>IF(F601="","",MIN(F601,E601))</x:f>
      </x:c>
      <x:c r="H601" s="10" t="str">
        <x:f>IF(F601="","",MAX(0,F601-E601))</x:f>
      </x:c>
      <x:c r="I601" s="24"/>
      <x:c r="J601" s="7"/>
      <x:c r="K601" s="8" t="str">
        <x:f>IF(A601="","",DATE(YEAR(A601),MONTH(A601),1))</x:f>
      </x:c>
    </x:row>
    <x:row r="602">
      <x:c r="A602" s="9"/>
      <x:c r="B602" s="7"/>
      <x:c r="C602" s="7" t="str">
        <x:f>IF(B602="","",XLOOKUP(B602,Employees!$A$4:$A$53,Employees!$B$4:$B$53,""))</x:f>
      </x:c>
      <x:c r="D602" s="7"/>
      <x:c r="E602" s="10" t="n">
        <x:v>8</x:v>
      </x:c>
      <x:c r="F602" s="10"/>
      <x:c r="G602" s="10" t="str">
        <x:f>IF(F602="","",MIN(F602,E602))</x:f>
      </x:c>
      <x:c r="H602" s="10" t="str">
        <x:f>IF(F602="","",MAX(0,F602-E602))</x:f>
      </x:c>
      <x:c r="I602" s="24"/>
      <x:c r="J602" s="7"/>
      <x:c r="K602" s="8" t="str">
        <x:f>IF(A602="","",DATE(YEAR(A602),MONTH(A602),1))</x:f>
      </x:c>
    </x:row>
    <x:row r="603">
      <x:c r="A603" s="9"/>
      <x:c r="B603" s="7"/>
      <x:c r="C603" s="7" t="str">
        <x:f>IF(B603="","",XLOOKUP(B603,Employees!$A$4:$A$53,Employees!$B$4:$B$53,""))</x:f>
      </x:c>
      <x:c r="D603" s="7"/>
      <x:c r="E603" s="10" t="n">
        <x:v>8</x:v>
      </x:c>
      <x:c r="F603" s="10"/>
      <x:c r="G603" s="10" t="str">
        <x:f>IF(F603="","",MIN(F603,E603))</x:f>
      </x:c>
      <x:c r="H603" s="10" t="str">
        <x:f>IF(F603="","",MAX(0,F603-E603))</x:f>
      </x:c>
      <x:c r="I603" s="24"/>
      <x:c r="J603" s="7"/>
      <x:c r="K603" s="8" t="str">
        <x:f>IF(A603="","",DATE(YEAR(A603),MONTH(A603),1))</x:f>
      </x:c>
    </x:row>
    <x:row r="604">
      <x:c r="A604" s="9"/>
      <x:c r="B604" s="7"/>
      <x:c r="C604" s="7" t="str">
        <x:f>IF(B604="","",XLOOKUP(B604,Employees!$A$4:$A$53,Employees!$B$4:$B$53,""))</x:f>
      </x:c>
      <x:c r="D604" s="7"/>
      <x:c r="E604" s="10" t="n">
        <x:v>8</x:v>
      </x:c>
      <x:c r="F604" s="10"/>
      <x:c r="G604" s="10" t="str">
        <x:f>IF(F604="","",MIN(F604,E604))</x:f>
      </x:c>
      <x:c r="H604" s="10" t="str">
        <x:f>IF(F604="","",MAX(0,F604-E604))</x:f>
      </x:c>
      <x:c r="I604" s="24"/>
      <x:c r="J604" s="7"/>
      <x:c r="K604" s="8" t="str">
        <x:f>IF(A604="","",DATE(YEAR(A604),MONTH(A604),1))</x:f>
      </x:c>
    </x:row>
    <x:row r="605">
      <x:c r="A605" s="9"/>
      <x:c r="B605" s="7"/>
      <x:c r="C605" s="7" t="str">
        <x:f>IF(B605="","",XLOOKUP(B605,Employees!$A$4:$A$53,Employees!$B$4:$B$53,""))</x:f>
      </x:c>
      <x:c r="D605" s="7"/>
      <x:c r="E605" s="10" t="n">
        <x:v>8</x:v>
      </x:c>
      <x:c r="F605" s="10"/>
      <x:c r="G605" s="10" t="str">
        <x:f>IF(F605="","",MIN(F605,E605))</x:f>
      </x:c>
      <x:c r="H605" s="10" t="str">
        <x:f>IF(F605="","",MAX(0,F605-E605))</x:f>
      </x:c>
      <x:c r="I605" s="24"/>
      <x:c r="J605" s="7"/>
      <x:c r="K605" s="8" t="str">
        <x:f>IF(A605="","",DATE(YEAR(A605),MONTH(A605),1))</x:f>
      </x:c>
    </x:row>
    <x:row r="606">
      <x:c r="A606" s="9"/>
      <x:c r="B606" s="7"/>
      <x:c r="C606" s="7" t="str">
        <x:f>IF(B606="","",XLOOKUP(B606,Employees!$A$4:$A$53,Employees!$B$4:$B$53,""))</x:f>
      </x:c>
      <x:c r="D606" s="7"/>
      <x:c r="E606" s="10" t="n">
        <x:v>8</x:v>
      </x:c>
      <x:c r="F606" s="10"/>
      <x:c r="G606" s="10" t="str">
        <x:f>IF(F606="","",MIN(F606,E606))</x:f>
      </x:c>
      <x:c r="H606" s="10" t="str">
        <x:f>IF(F606="","",MAX(0,F606-E606))</x:f>
      </x:c>
      <x:c r="I606" s="24"/>
      <x:c r="J606" s="7"/>
      <x:c r="K606" s="8" t="str">
        <x:f>IF(A606="","",DATE(YEAR(A606),MONTH(A606),1))</x:f>
      </x:c>
    </x:row>
    <x:row r="607">
      <x:c r="A607" s="9"/>
      <x:c r="B607" s="7"/>
      <x:c r="C607" s="7" t="str">
        <x:f>IF(B607="","",XLOOKUP(B607,Employees!$A$4:$A$53,Employees!$B$4:$B$53,""))</x:f>
      </x:c>
      <x:c r="D607" s="7"/>
      <x:c r="E607" s="10" t="n">
        <x:v>8</x:v>
      </x:c>
      <x:c r="F607" s="10"/>
      <x:c r="G607" s="10" t="str">
        <x:f>IF(F607="","",MIN(F607,E607))</x:f>
      </x:c>
      <x:c r="H607" s="10" t="str">
        <x:f>IF(F607="","",MAX(0,F607-E607))</x:f>
      </x:c>
      <x:c r="I607" s="24"/>
      <x:c r="J607" s="7"/>
      <x:c r="K607" s="8" t="str">
        <x:f>IF(A607="","",DATE(YEAR(A607),MONTH(A607),1))</x:f>
      </x:c>
    </x:row>
    <x:row r="608">
      <x:c r="A608" s="9"/>
      <x:c r="B608" s="7"/>
      <x:c r="C608" s="7" t="str">
        <x:f>IF(B608="","",XLOOKUP(B608,Employees!$A$4:$A$53,Employees!$B$4:$B$53,""))</x:f>
      </x:c>
      <x:c r="D608" s="7"/>
      <x:c r="E608" s="10" t="n">
        <x:v>8</x:v>
      </x:c>
      <x:c r="F608" s="10"/>
      <x:c r="G608" s="10" t="str">
        <x:f>IF(F608="","",MIN(F608,E608))</x:f>
      </x:c>
      <x:c r="H608" s="10" t="str">
        <x:f>IF(F608="","",MAX(0,F608-E608))</x:f>
      </x:c>
      <x:c r="I608" s="24"/>
      <x:c r="J608" s="7"/>
      <x:c r="K608" s="8" t="str">
        <x:f>IF(A608="","",DATE(YEAR(A608),MONTH(A608),1))</x:f>
      </x:c>
    </x:row>
    <x:row r="609">
      <x:c r="A609" s="9"/>
      <x:c r="B609" s="7"/>
      <x:c r="C609" s="7" t="str">
        <x:f>IF(B609="","",XLOOKUP(B609,Employees!$A$4:$A$53,Employees!$B$4:$B$53,""))</x:f>
      </x:c>
      <x:c r="D609" s="7"/>
      <x:c r="E609" s="10" t="n">
        <x:v>8</x:v>
      </x:c>
      <x:c r="F609" s="10"/>
      <x:c r="G609" s="10" t="str">
        <x:f>IF(F609="","",MIN(F609,E609))</x:f>
      </x:c>
      <x:c r="H609" s="10" t="str">
        <x:f>IF(F609="","",MAX(0,F609-E609))</x:f>
      </x:c>
      <x:c r="I609" s="24"/>
      <x:c r="J609" s="7"/>
      <x:c r="K609" s="8" t="str">
        <x:f>IF(A609="","",DATE(YEAR(A609),MONTH(A609),1))</x:f>
      </x:c>
    </x:row>
    <x:row r="610">
      <x:c r="A610" s="9"/>
      <x:c r="B610" s="7"/>
      <x:c r="C610" s="7" t="str">
        <x:f>IF(B610="","",XLOOKUP(B610,Employees!$A$4:$A$53,Employees!$B$4:$B$53,""))</x:f>
      </x:c>
      <x:c r="D610" s="7"/>
      <x:c r="E610" s="10" t="n">
        <x:v>8</x:v>
      </x:c>
      <x:c r="F610" s="10"/>
      <x:c r="G610" s="10" t="str">
        <x:f>IF(F610="","",MIN(F610,E610))</x:f>
      </x:c>
      <x:c r="H610" s="10" t="str">
        <x:f>IF(F610="","",MAX(0,F610-E610))</x:f>
      </x:c>
      <x:c r="I610" s="24"/>
      <x:c r="J610" s="7"/>
      <x:c r="K610" s="8" t="str">
        <x:f>IF(A610="","",DATE(YEAR(A610),MONTH(A610),1))</x:f>
      </x:c>
    </x:row>
    <x:row r="611">
      <x:c r="A611" s="9"/>
      <x:c r="B611" s="7"/>
      <x:c r="C611" s="7" t="str">
        <x:f>IF(B611="","",XLOOKUP(B611,Employees!$A$4:$A$53,Employees!$B$4:$B$53,""))</x:f>
      </x:c>
      <x:c r="D611" s="7"/>
      <x:c r="E611" s="10" t="n">
        <x:v>8</x:v>
      </x:c>
      <x:c r="F611" s="10"/>
      <x:c r="G611" s="10" t="str">
        <x:f>IF(F611="","",MIN(F611,E611))</x:f>
      </x:c>
      <x:c r="H611" s="10" t="str">
        <x:f>IF(F611="","",MAX(0,F611-E611))</x:f>
      </x:c>
      <x:c r="I611" s="24"/>
      <x:c r="J611" s="7"/>
      <x:c r="K611" s="8" t="str">
        <x:f>IF(A611="","",DATE(YEAR(A611),MONTH(A611),1))</x:f>
      </x:c>
    </x:row>
    <x:row r="612">
      <x:c r="A612" s="9"/>
      <x:c r="B612" s="7"/>
      <x:c r="C612" s="7" t="str">
        <x:f>IF(B612="","",XLOOKUP(B612,Employees!$A$4:$A$53,Employees!$B$4:$B$53,""))</x:f>
      </x:c>
      <x:c r="D612" s="7"/>
      <x:c r="E612" s="10" t="n">
        <x:v>8</x:v>
      </x:c>
      <x:c r="F612" s="10"/>
      <x:c r="G612" s="10" t="str">
        <x:f>IF(F612="","",MIN(F612,E612))</x:f>
      </x:c>
      <x:c r="H612" s="10" t="str">
        <x:f>IF(F612="","",MAX(0,F612-E612))</x:f>
      </x:c>
      <x:c r="I612" s="24"/>
      <x:c r="J612" s="7"/>
      <x:c r="K612" s="8" t="str">
        <x:f>IF(A612="","",DATE(YEAR(A612),MONTH(A612),1))</x:f>
      </x:c>
    </x:row>
    <x:row r="613">
      <x:c r="A613" s="9"/>
      <x:c r="B613" s="7"/>
      <x:c r="C613" s="7" t="str">
        <x:f>IF(B613="","",XLOOKUP(B613,Employees!$A$4:$A$53,Employees!$B$4:$B$53,""))</x:f>
      </x:c>
      <x:c r="D613" s="7"/>
      <x:c r="E613" s="10" t="n">
        <x:v>8</x:v>
      </x:c>
      <x:c r="F613" s="10"/>
      <x:c r="G613" s="10" t="str">
        <x:f>IF(F613="","",MIN(F613,E613))</x:f>
      </x:c>
      <x:c r="H613" s="10" t="str">
        <x:f>IF(F613="","",MAX(0,F613-E613))</x:f>
      </x:c>
      <x:c r="I613" s="24"/>
      <x:c r="J613" s="7"/>
      <x:c r="K613" s="8" t="str">
        <x:f>IF(A613="","",DATE(YEAR(A613),MONTH(A613),1))</x:f>
      </x:c>
    </x:row>
    <x:row r="614">
      <x:c r="A614" s="9"/>
      <x:c r="B614" s="7"/>
      <x:c r="C614" s="7" t="str">
        <x:f>IF(B614="","",XLOOKUP(B614,Employees!$A$4:$A$53,Employees!$B$4:$B$53,""))</x:f>
      </x:c>
      <x:c r="D614" s="7"/>
      <x:c r="E614" s="10" t="n">
        <x:v>8</x:v>
      </x:c>
      <x:c r="F614" s="10"/>
      <x:c r="G614" s="10" t="str">
        <x:f>IF(F614="","",MIN(F614,E614))</x:f>
      </x:c>
      <x:c r="H614" s="10" t="str">
        <x:f>IF(F614="","",MAX(0,F614-E614))</x:f>
      </x:c>
      <x:c r="I614" s="24"/>
      <x:c r="J614" s="7"/>
      <x:c r="K614" s="8" t="str">
        <x:f>IF(A614="","",DATE(YEAR(A614),MONTH(A614),1))</x:f>
      </x:c>
    </x:row>
    <x:row r="615">
      <x:c r="A615" s="9"/>
      <x:c r="B615" s="7"/>
      <x:c r="C615" s="7" t="str">
        <x:f>IF(B615="","",XLOOKUP(B615,Employees!$A$4:$A$53,Employees!$B$4:$B$53,""))</x:f>
      </x:c>
      <x:c r="D615" s="7"/>
      <x:c r="E615" s="10" t="n">
        <x:v>8</x:v>
      </x:c>
      <x:c r="F615" s="10"/>
      <x:c r="G615" s="10" t="str">
        <x:f>IF(F615="","",MIN(F615,E615))</x:f>
      </x:c>
      <x:c r="H615" s="10" t="str">
        <x:f>IF(F615="","",MAX(0,F615-E615))</x:f>
      </x:c>
      <x:c r="I615" s="24"/>
      <x:c r="J615" s="7"/>
      <x:c r="K615" s="8" t="str">
        <x:f>IF(A615="","",DATE(YEAR(A615),MONTH(A615),1))</x:f>
      </x:c>
    </x:row>
    <x:row r="616">
      <x:c r="A616" s="9"/>
      <x:c r="B616" s="7"/>
      <x:c r="C616" s="7" t="str">
        <x:f>IF(B616="","",XLOOKUP(B616,Employees!$A$4:$A$53,Employees!$B$4:$B$53,""))</x:f>
      </x:c>
      <x:c r="D616" s="7"/>
      <x:c r="E616" s="10" t="n">
        <x:v>8</x:v>
      </x:c>
      <x:c r="F616" s="10"/>
      <x:c r="G616" s="10" t="str">
        <x:f>IF(F616="","",MIN(F616,E616))</x:f>
      </x:c>
      <x:c r="H616" s="10" t="str">
        <x:f>IF(F616="","",MAX(0,F616-E616))</x:f>
      </x:c>
      <x:c r="I616" s="24"/>
      <x:c r="J616" s="7"/>
      <x:c r="K616" s="8" t="str">
        <x:f>IF(A616="","",DATE(YEAR(A616),MONTH(A616),1))</x:f>
      </x:c>
    </x:row>
    <x:row r="617">
      <x:c r="A617" s="9"/>
      <x:c r="B617" s="7"/>
      <x:c r="C617" s="7" t="str">
        <x:f>IF(B617="","",XLOOKUP(B617,Employees!$A$4:$A$53,Employees!$B$4:$B$53,""))</x:f>
      </x:c>
      <x:c r="D617" s="7"/>
      <x:c r="E617" s="10" t="n">
        <x:v>8</x:v>
      </x:c>
      <x:c r="F617" s="10"/>
      <x:c r="G617" s="10" t="str">
        <x:f>IF(F617="","",MIN(F617,E617))</x:f>
      </x:c>
      <x:c r="H617" s="10" t="str">
        <x:f>IF(F617="","",MAX(0,F617-E617))</x:f>
      </x:c>
      <x:c r="I617" s="24"/>
      <x:c r="J617" s="7"/>
      <x:c r="K617" s="8" t="str">
        <x:f>IF(A617="","",DATE(YEAR(A617),MONTH(A617),1))</x:f>
      </x:c>
    </x:row>
    <x:row r="618">
      <x:c r="A618" s="9"/>
      <x:c r="B618" s="7"/>
      <x:c r="C618" s="7" t="str">
        <x:f>IF(B618="","",XLOOKUP(B618,Employees!$A$4:$A$53,Employees!$B$4:$B$53,""))</x:f>
      </x:c>
      <x:c r="D618" s="7"/>
      <x:c r="E618" s="10" t="n">
        <x:v>8</x:v>
      </x:c>
      <x:c r="F618" s="10"/>
      <x:c r="G618" s="10" t="str">
        <x:f>IF(F618="","",MIN(F618,E618))</x:f>
      </x:c>
      <x:c r="H618" s="10" t="str">
        <x:f>IF(F618="","",MAX(0,F618-E618))</x:f>
      </x:c>
      <x:c r="I618" s="24"/>
      <x:c r="J618" s="7"/>
      <x:c r="K618" s="8" t="str">
        <x:f>IF(A618="","",DATE(YEAR(A618),MONTH(A618),1))</x:f>
      </x:c>
    </x:row>
    <x:row r="619">
      <x:c r="A619" s="9"/>
      <x:c r="B619" s="7"/>
      <x:c r="C619" s="7" t="str">
        <x:f>IF(B619="","",XLOOKUP(B619,Employees!$A$4:$A$53,Employees!$B$4:$B$53,""))</x:f>
      </x:c>
      <x:c r="D619" s="7"/>
      <x:c r="E619" s="10" t="n">
        <x:v>8</x:v>
      </x:c>
      <x:c r="F619" s="10"/>
      <x:c r="G619" s="10" t="str">
        <x:f>IF(F619="","",MIN(F619,E619))</x:f>
      </x:c>
      <x:c r="H619" s="10" t="str">
        <x:f>IF(F619="","",MAX(0,F619-E619))</x:f>
      </x:c>
      <x:c r="I619" s="24"/>
      <x:c r="J619" s="7"/>
      <x:c r="K619" s="8" t="str">
        <x:f>IF(A619="","",DATE(YEAR(A619),MONTH(A619),1))</x:f>
      </x:c>
    </x:row>
    <x:row r="620">
      <x:c r="A620" s="9"/>
      <x:c r="B620" s="7"/>
      <x:c r="C620" s="7" t="str">
        <x:f>IF(B620="","",XLOOKUP(B620,Employees!$A$4:$A$53,Employees!$B$4:$B$53,""))</x:f>
      </x:c>
      <x:c r="D620" s="7"/>
      <x:c r="E620" s="10" t="n">
        <x:v>8</x:v>
      </x:c>
      <x:c r="F620" s="10"/>
      <x:c r="G620" s="10" t="str">
        <x:f>IF(F620="","",MIN(F620,E620))</x:f>
      </x:c>
      <x:c r="H620" s="10" t="str">
        <x:f>IF(F620="","",MAX(0,F620-E620))</x:f>
      </x:c>
      <x:c r="I620" s="24"/>
      <x:c r="J620" s="7"/>
      <x:c r="K620" s="8" t="str">
        <x:f>IF(A620="","",DATE(YEAR(A620),MONTH(A620),1))</x:f>
      </x:c>
    </x:row>
    <x:row r="621">
      <x:c r="A621" s="9"/>
      <x:c r="B621" s="7"/>
      <x:c r="C621" s="7" t="str">
        <x:f>IF(B621="","",XLOOKUP(B621,Employees!$A$4:$A$53,Employees!$B$4:$B$53,""))</x:f>
      </x:c>
      <x:c r="D621" s="7"/>
      <x:c r="E621" s="10" t="n">
        <x:v>8</x:v>
      </x:c>
      <x:c r="F621" s="10"/>
      <x:c r="G621" s="10" t="str">
        <x:f>IF(F621="","",MIN(F621,E621))</x:f>
      </x:c>
      <x:c r="H621" s="10" t="str">
        <x:f>IF(F621="","",MAX(0,F621-E621))</x:f>
      </x:c>
      <x:c r="I621" s="24"/>
      <x:c r="J621" s="7"/>
      <x:c r="K621" s="8" t="str">
        <x:f>IF(A621="","",DATE(YEAR(A621),MONTH(A621),1))</x:f>
      </x:c>
    </x:row>
    <x:row r="622">
      <x:c r="A622" s="9"/>
      <x:c r="B622" s="7"/>
      <x:c r="C622" s="7" t="str">
        <x:f>IF(B622="","",XLOOKUP(B622,Employees!$A$4:$A$53,Employees!$B$4:$B$53,""))</x:f>
      </x:c>
      <x:c r="D622" s="7"/>
      <x:c r="E622" s="10" t="n">
        <x:v>8</x:v>
      </x:c>
      <x:c r="F622" s="10"/>
      <x:c r="G622" s="10" t="str">
        <x:f>IF(F622="","",MIN(F622,E622))</x:f>
      </x:c>
      <x:c r="H622" s="10" t="str">
        <x:f>IF(F622="","",MAX(0,F622-E622))</x:f>
      </x:c>
      <x:c r="I622" s="24"/>
      <x:c r="J622" s="7"/>
      <x:c r="K622" s="8" t="str">
        <x:f>IF(A622="","",DATE(YEAR(A622),MONTH(A622),1))</x:f>
      </x:c>
    </x:row>
    <x:row r="623">
      <x:c r="A623" s="9"/>
      <x:c r="B623" s="7"/>
      <x:c r="C623" s="7" t="str">
        <x:f>IF(B623="","",XLOOKUP(B623,Employees!$A$4:$A$53,Employees!$B$4:$B$53,""))</x:f>
      </x:c>
      <x:c r="D623" s="7"/>
      <x:c r="E623" s="10" t="n">
        <x:v>8</x:v>
      </x:c>
      <x:c r="F623" s="10"/>
      <x:c r="G623" s="10" t="str">
        <x:f>IF(F623="","",MIN(F623,E623))</x:f>
      </x:c>
      <x:c r="H623" s="10" t="str">
        <x:f>IF(F623="","",MAX(0,F623-E623))</x:f>
      </x:c>
      <x:c r="I623" s="24"/>
      <x:c r="J623" s="7"/>
      <x:c r="K623" s="8" t="str">
        <x:f>IF(A623="","",DATE(YEAR(A623),MONTH(A623),1))</x:f>
      </x:c>
    </x:row>
    <x:row r="624">
      <x:c r="A624" s="9"/>
      <x:c r="B624" s="7"/>
      <x:c r="C624" s="7" t="str">
        <x:f>IF(B624="","",XLOOKUP(B624,Employees!$A$4:$A$53,Employees!$B$4:$B$53,""))</x:f>
      </x:c>
      <x:c r="D624" s="7"/>
      <x:c r="E624" s="10" t="n">
        <x:v>8</x:v>
      </x:c>
      <x:c r="F624" s="10"/>
      <x:c r="G624" s="10" t="str">
        <x:f>IF(F624="","",MIN(F624,E624))</x:f>
      </x:c>
      <x:c r="H624" s="10" t="str">
        <x:f>IF(F624="","",MAX(0,F624-E624))</x:f>
      </x:c>
      <x:c r="I624" s="24"/>
      <x:c r="J624" s="7"/>
      <x:c r="K624" s="8" t="str">
        <x:f>IF(A624="","",DATE(YEAR(A624),MONTH(A624),1))</x:f>
      </x:c>
    </x:row>
    <x:row r="625">
      <x:c r="A625" s="9"/>
      <x:c r="B625" s="7"/>
      <x:c r="C625" s="7" t="str">
        <x:f>IF(B625="","",XLOOKUP(B625,Employees!$A$4:$A$53,Employees!$B$4:$B$53,""))</x:f>
      </x:c>
      <x:c r="D625" s="7"/>
      <x:c r="E625" s="10" t="n">
        <x:v>8</x:v>
      </x:c>
      <x:c r="F625" s="10"/>
      <x:c r="G625" s="10" t="str">
        <x:f>IF(F625="","",MIN(F625,E625))</x:f>
      </x:c>
      <x:c r="H625" s="10" t="str">
        <x:f>IF(F625="","",MAX(0,F625-E625))</x:f>
      </x:c>
      <x:c r="I625" s="24"/>
      <x:c r="J625" s="7"/>
      <x:c r="K625" s="8" t="str">
        <x:f>IF(A625="","",DATE(YEAR(A625),MONTH(A625),1))</x:f>
      </x:c>
    </x:row>
    <x:row r="626">
      <x:c r="A626" s="9"/>
      <x:c r="B626" s="7"/>
      <x:c r="C626" s="7" t="str">
        <x:f>IF(B626="","",XLOOKUP(B626,Employees!$A$4:$A$53,Employees!$B$4:$B$53,""))</x:f>
      </x:c>
      <x:c r="D626" s="7"/>
      <x:c r="E626" s="10" t="n">
        <x:v>8</x:v>
      </x:c>
      <x:c r="F626" s="10"/>
      <x:c r="G626" s="10" t="str">
        <x:f>IF(F626="","",MIN(F626,E626))</x:f>
      </x:c>
      <x:c r="H626" s="10" t="str">
        <x:f>IF(F626="","",MAX(0,F626-E626))</x:f>
      </x:c>
      <x:c r="I626" s="24"/>
      <x:c r="J626" s="7"/>
      <x:c r="K626" s="8" t="str">
        <x:f>IF(A626="","",DATE(YEAR(A626),MONTH(A626),1))</x:f>
      </x:c>
    </x:row>
    <x:row r="627">
      <x:c r="A627" s="9"/>
      <x:c r="B627" s="7"/>
      <x:c r="C627" s="7" t="str">
        <x:f>IF(B627="","",XLOOKUP(B627,Employees!$A$4:$A$53,Employees!$B$4:$B$53,""))</x:f>
      </x:c>
      <x:c r="D627" s="7"/>
      <x:c r="E627" s="10" t="n">
        <x:v>8</x:v>
      </x:c>
      <x:c r="F627" s="10"/>
      <x:c r="G627" s="10" t="str">
        <x:f>IF(F627="","",MIN(F627,E627))</x:f>
      </x:c>
      <x:c r="H627" s="10" t="str">
        <x:f>IF(F627="","",MAX(0,F627-E627))</x:f>
      </x:c>
      <x:c r="I627" s="24"/>
      <x:c r="J627" s="7"/>
      <x:c r="K627" s="8" t="str">
        <x:f>IF(A627="","",DATE(YEAR(A627),MONTH(A627),1))</x:f>
      </x:c>
    </x:row>
    <x:row r="628">
      <x:c r="A628" s="9"/>
      <x:c r="B628" s="7"/>
      <x:c r="C628" s="7" t="str">
        <x:f>IF(B628="","",XLOOKUP(B628,Employees!$A$4:$A$53,Employees!$B$4:$B$53,""))</x:f>
      </x:c>
      <x:c r="D628" s="7"/>
      <x:c r="E628" s="10" t="n">
        <x:v>8</x:v>
      </x:c>
      <x:c r="F628" s="10"/>
      <x:c r="G628" s="10" t="str">
        <x:f>IF(F628="","",MIN(F628,E628))</x:f>
      </x:c>
      <x:c r="H628" s="10" t="str">
        <x:f>IF(F628="","",MAX(0,F628-E628))</x:f>
      </x:c>
      <x:c r="I628" s="24"/>
      <x:c r="J628" s="7"/>
      <x:c r="K628" s="8" t="str">
        <x:f>IF(A628="","",DATE(YEAR(A628),MONTH(A628),1))</x:f>
      </x:c>
    </x:row>
    <x:row r="629">
      <x:c r="A629" s="9"/>
      <x:c r="B629" s="7"/>
      <x:c r="C629" s="7" t="str">
        <x:f>IF(B629="","",XLOOKUP(B629,Employees!$A$4:$A$53,Employees!$B$4:$B$53,""))</x:f>
      </x:c>
      <x:c r="D629" s="7"/>
      <x:c r="E629" s="10" t="n">
        <x:v>8</x:v>
      </x:c>
      <x:c r="F629" s="10"/>
      <x:c r="G629" s="10" t="str">
        <x:f>IF(F629="","",MIN(F629,E629))</x:f>
      </x:c>
      <x:c r="H629" s="10" t="str">
        <x:f>IF(F629="","",MAX(0,F629-E629))</x:f>
      </x:c>
      <x:c r="I629" s="24"/>
      <x:c r="J629" s="7"/>
      <x:c r="K629" s="8" t="str">
        <x:f>IF(A629="","",DATE(YEAR(A629),MONTH(A629),1))</x:f>
      </x:c>
    </x:row>
    <x:row r="630">
      <x:c r="A630" s="9"/>
      <x:c r="B630" s="7"/>
      <x:c r="C630" s="7" t="str">
        <x:f>IF(B630="","",XLOOKUP(B630,Employees!$A$4:$A$53,Employees!$B$4:$B$53,""))</x:f>
      </x:c>
      <x:c r="D630" s="7"/>
      <x:c r="E630" s="10" t="n">
        <x:v>8</x:v>
      </x:c>
      <x:c r="F630" s="10"/>
      <x:c r="G630" s="10" t="str">
        <x:f>IF(F630="","",MIN(F630,E630))</x:f>
      </x:c>
      <x:c r="H630" s="10" t="str">
        <x:f>IF(F630="","",MAX(0,F630-E630))</x:f>
      </x:c>
      <x:c r="I630" s="24"/>
      <x:c r="J630" s="7"/>
      <x:c r="K630" s="8" t="str">
        <x:f>IF(A630="","",DATE(YEAR(A630),MONTH(A630),1))</x:f>
      </x:c>
    </x:row>
    <x:row r="631">
      <x:c r="A631" s="9"/>
      <x:c r="B631" s="7"/>
      <x:c r="C631" s="7" t="str">
        <x:f>IF(B631="","",XLOOKUP(B631,Employees!$A$4:$A$53,Employees!$B$4:$B$53,""))</x:f>
      </x:c>
      <x:c r="D631" s="7"/>
      <x:c r="E631" s="10" t="n">
        <x:v>8</x:v>
      </x:c>
      <x:c r="F631" s="10"/>
      <x:c r="G631" s="10" t="str">
        <x:f>IF(F631="","",MIN(F631,E631))</x:f>
      </x:c>
      <x:c r="H631" s="10" t="str">
        <x:f>IF(F631="","",MAX(0,F631-E631))</x:f>
      </x:c>
      <x:c r="I631" s="24"/>
      <x:c r="J631" s="7"/>
      <x:c r="K631" s="8" t="str">
        <x:f>IF(A631="","",DATE(YEAR(A631),MONTH(A631),1))</x:f>
      </x:c>
    </x:row>
    <x:row r="632">
      <x:c r="A632" s="9"/>
      <x:c r="B632" s="7"/>
      <x:c r="C632" s="7" t="str">
        <x:f>IF(B632="","",XLOOKUP(B632,Employees!$A$4:$A$53,Employees!$B$4:$B$53,""))</x:f>
      </x:c>
      <x:c r="D632" s="7"/>
      <x:c r="E632" s="10" t="n">
        <x:v>8</x:v>
      </x:c>
      <x:c r="F632" s="10"/>
      <x:c r="G632" s="10" t="str">
        <x:f>IF(F632="","",MIN(F632,E632))</x:f>
      </x:c>
      <x:c r="H632" s="10" t="str">
        <x:f>IF(F632="","",MAX(0,F632-E632))</x:f>
      </x:c>
      <x:c r="I632" s="24"/>
      <x:c r="J632" s="7"/>
      <x:c r="K632" s="8" t="str">
        <x:f>IF(A632="","",DATE(YEAR(A632),MONTH(A632),1))</x:f>
      </x:c>
    </x:row>
    <x:row r="633">
      <x:c r="A633" s="9"/>
      <x:c r="B633" s="7"/>
      <x:c r="C633" s="7" t="str">
        <x:f>IF(B633="","",XLOOKUP(B633,Employees!$A$4:$A$53,Employees!$B$4:$B$53,""))</x:f>
      </x:c>
      <x:c r="D633" s="7"/>
      <x:c r="E633" s="10" t="n">
        <x:v>8</x:v>
      </x:c>
      <x:c r="F633" s="10"/>
      <x:c r="G633" s="10" t="str">
        <x:f>IF(F633="","",MIN(F633,E633))</x:f>
      </x:c>
      <x:c r="H633" s="10" t="str">
        <x:f>IF(F633="","",MAX(0,F633-E633))</x:f>
      </x:c>
      <x:c r="I633" s="24"/>
      <x:c r="J633" s="7"/>
      <x:c r="K633" s="8" t="str">
        <x:f>IF(A633="","",DATE(YEAR(A633),MONTH(A633),1))</x:f>
      </x:c>
    </x:row>
    <x:row r="634">
      <x:c r="A634" s="9"/>
      <x:c r="B634" s="7"/>
      <x:c r="C634" s="7" t="str">
        <x:f>IF(B634="","",XLOOKUP(B634,Employees!$A$4:$A$53,Employees!$B$4:$B$53,""))</x:f>
      </x:c>
      <x:c r="D634" s="7"/>
      <x:c r="E634" s="10" t="n">
        <x:v>8</x:v>
      </x:c>
      <x:c r="F634" s="10"/>
      <x:c r="G634" s="10" t="str">
        <x:f>IF(F634="","",MIN(F634,E634))</x:f>
      </x:c>
      <x:c r="H634" s="10" t="str">
        <x:f>IF(F634="","",MAX(0,F634-E634))</x:f>
      </x:c>
      <x:c r="I634" s="24"/>
      <x:c r="J634" s="7"/>
      <x:c r="K634" s="8" t="str">
        <x:f>IF(A634="","",DATE(YEAR(A634),MONTH(A634),1))</x:f>
      </x:c>
    </x:row>
    <x:row r="635">
      <x:c r="A635" s="9"/>
      <x:c r="B635" s="7"/>
      <x:c r="C635" s="7" t="str">
        <x:f>IF(B635="","",XLOOKUP(B635,Employees!$A$4:$A$53,Employees!$B$4:$B$53,""))</x:f>
      </x:c>
      <x:c r="D635" s="7"/>
      <x:c r="E635" s="10" t="n">
        <x:v>8</x:v>
      </x:c>
      <x:c r="F635" s="10"/>
      <x:c r="G635" s="10" t="str">
        <x:f>IF(F635="","",MIN(F635,E635))</x:f>
      </x:c>
      <x:c r="H635" s="10" t="str">
        <x:f>IF(F635="","",MAX(0,F635-E635))</x:f>
      </x:c>
      <x:c r="I635" s="24"/>
      <x:c r="J635" s="7"/>
      <x:c r="K635" s="8" t="str">
        <x:f>IF(A635="","",DATE(YEAR(A635),MONTH(A635),1))</x:f>
      </x:c>
    </x:row>
    <x:row r="636">
      <x:c r="A636" s="9"/>
      <x:c r="B636" s="7"/>
      <x:c r="C636" s="7" t="str">
        <x:f>IF(B636="","",XLOOKUP(B636,Employees!$A$4:$A$53,Employees!$B$4:$B$53,""))</x:f>
      </x:c>
      <x:c r="D636" s="7"/>
      <x:c r="E636" s="10" t="n">
        <x:v>8</x:v>
      </x:c>
      <x:c r="F636" s="10"/>
      <x:c r="G636" s="10" t="str">
        <x:f>IF(F636="","",MIN(F636,E636))</x:f>
      </x:c>
      <x:c r="H636" s="10" t="str">
        <x:f>IF(F636="","",MAX(0,F636-E636))</x:f>
      </x:c>
      <x:c r="I636" s="24"/>
      <x:c r="J636" s="7"/>
      <x:c r="K636" s="8" t="str">
        <x:f>IF(A636="","",DATE(YEAR(A636),MONTH(A636),1))</x:f>
      </x:c>
    </x:row>
    <x:row r="637">
      <x:c r="A637" s="9"/>
      <x:c r="B637" s="7"/>
      <x:c r="C637" s="7" t="str">
        <x:f>IF(B637="","",XLOOKUP(B637,Employees!$A$4:$A$53,Employees!$B$4:$B$53,""))</x:f>
      </x:c>
      <x:c r="D637" s="7"/>
      <x:c r="E637" s="10" t="n">
        <x:v>8</x:v>
      </x:c>
      <x:c r="F637" s="10"/>
      <x:c r="G637" s="10" t="str">
        <x:f>IF(F637="","",MIN(F637,E637))</x:f>
      </x:c>
      <x:c r="H637" s="10" t="str">
        <x:f>IF(F637="","",MAX(0,F637-E637))</x:f>
      </x:c>
      <x:c r="I637" s="24"/>
      <x:c r="J637" s="7"/>
      <x:c r="K637" s="8" t="str">
        <x:f>IF(A637="","",DATE(YEAR(A637),MONTH(A637),1))</x:f>
      </x:c>
    </x:row>
    <x:row r="638">
      <x:c r="A638" s="9"/>
      <x:c r="B638" s="7"/>
      <x:c r="C638" s="7" t="str">
        <x:f>IF(B638="","",XLOOKUP(B638,Employees!$A$4:$A$53,Employees!$B$4:$B$53,""))</x:f>
      </x:c>
      <x:c r="D638" s="7"/>
      <x:c r="E638" s="10" t="n">
        <x:v>8</x:v>
      </x:c>
      <x:c r="F638" s="10"/>
      <x:c r="G638" s="10" t="str">
        <x:f>IF(F638="","",MIN(F638,E638))</x:f>
      </x:c>
      <x:c r="H638" s="10" t="str">
        <x:f>IF(F638="","",MAX(0,F638-E638))</x:f>
      </x:c>
      <x:c r="I638" s="24"/>
      <x:c r="J638" s="7"/>
      <x:c r="K638" s="8" t="str">
        <x:f>IF(A638="","",DATE(YEAR(A638),MONTH(A638),1))</x:f>
      </x:c>
    </x:row>
    <x:row r="639">
      <x:c r="A639" s="9"/>
      <x:c r="B639" s="7"/>
      <x:c r="C639" s="7" t="str">
        <x:f>IF(B639="","",XLOOKUP(B639,Employees!$A$4:$A$53,Employees!$B$4:$B$53,""))</x:f>
      </x:c>
      <x:c r="D639" s="7"/>
      <x:c r="E639" s="10" t="n">
        <x:v>8</x:v>
      </x:c>
      <x:c r="F639" s="10"/>
      <x:c r="G639" s="10" t="str">
        <x:f>IF(F639="","",MIN(F639,E639))</x:f>
      </x:c>
      <x:c r="H639" s="10" t="str">
        <x:f>IF(F639="","",MAX(0,F639-E639))</x:f>
      </x:c>
      <x:c r="I639" s="24"/>
      <x:c r="J639" s="7"/>
      <x:c r="K639" s="8" t="str">
        <x:f>IF(A639="","",DATE(YEAR(A639),MONTH(A639),1))</x:f>
      </x:c>
    </x:row>
    <x:row r="640">
      <x:c r="A640" s="9"/>
      <x:c r="B640" s="7"/>
      <x:c r="C640" s="7" t="str">
        <x:f>IF(B640="","",XLOOKUP(B640,Employees!$A$4:$A$53,Employees!$B$4:$B$53,""))</x:f>
      </x:c>
      <x:c r="D640" s="7"/>
      <x:c r="E640" s="10" t="n">
        <x:v>8</x:v>
      </x:c>
      <x:c r="F640" s="10"/>
      <x:c r="G640" s="10" t="str">
        <x:f>IF(F640="","",MIN(F640,E640))</x:f>
      </x:c>
      <x:c r="H640" s="10" t="str">
        <x:f>IF(F640="","",MAX(0,F640-E640))</x:f>
      </x:c>
      <x:c r="I640" s="24"/>
      <x:c r="J640" s="7"/>
      <x:c r="K640" s="8" t="str">
        <x:f>IF(A640="","",DATE(YEAR(A640),MONTH(A640),1))</x:f>
      </x:c>
    </x:row>
    <x:row r="641">
      <x:c r="A641" s="9"/>
      <x:c r="B641" s="7"/>
      <x:c r="C641" s="7" t="str">
        <x:f>IF(B641="","",XLOOKUP(B641,Employees!$A$4:$A$53,Employees!$B$4:$B$53,""))</x:f>
      </x:c>
      <x:c r="D641" s="7"/>
      <x:c r="E641" s="10" t="n">
        <x:v>8</x:v>
      </x:c>
      <x:c r="F641" s="10"/>
      <x:c r="G641" s="10" t="str">
        <x:f>IF(F641="","",MIN(F641,E641))</x:f>
      </x:c>
      <x:c r="H641" s="10" t="str">
        <x:f>IF(F641="","",MAX(0,F641-E641))</x:f>
      </x:c>
      <x:c r="I641" s="24"/>
      <x:c r="J641" s="7"/>
      <x:c r="K641" s="8" t="str">
        <x:f>IF(A641="","",DATE(YEAR(A641),MONTH(A641),1))</x:f>
      </x:c>
    </x:row>
    <x:row r="642">
      <x:c r="A642" s="9"/>
      <x:c r="B642" s="7"/>
      <x:c r="C642" s="7" t="str">
        <x:f>IF(B642="","",XLOOKUP(B642,Employees!$A$4:$A$53,Employees!$B$4:$B$53,""))</x:f>
      </x:c>
      <x:c r="D642" s="7"/>
      <x:c r="E642" s="10" t="n">
        <x:v>8</x:v>
      </x:c>
      <x:c r="F642" s="10"/>
      <x:c r="G642" s="10" t="str">
        <x:f>IF(F642="","",MIN(F642,E642))</x:f>
      </x:c>
      <x:c r="H642" s="10" t="str">
        <x:f>IF(F642="","",MAX(0,F642-E642))</x:f>
      </x:c>
      <x:c r="I642" s="24"/>
      <x:c r="J642" s="7"/>
      <x:c r="K642" s="8" t="str">
        <x:f>IF(A642="","",DATE(YEAR(A642),MONTH(A642),1))</x:f>
      </x:c>
    </x:row>
    <x:row r="643">
      <x:c r="A643" s="9"/>
      <x:c r="B643" s="7"/>
      <x:c r="C643" s="7" t="str">
        <x:f>IF(B643="","",XLOOKUP(B643,Employees!$A$4:$A$53,Employees!$B$4:$B$53,""))</x:f>
      </x:c>
      <x:c r="D643" s="7"/>
      <x:c r="E643" s="10" t="n">
        <x:v>8</x:v>
      </x:c>
      <x:c r="F643" s="10"/>
      <x:c r="G643" s="10" t="str">
        <x:f>IF(F643="","",MIN(F643,E643))</x:f>
      </x:c>
      <x:c r="H643" s="10" t="str">
        <x:f>IF(F643="","",MAX(0,F643-E643))</x:f>
      </x:c>
      <x:c r="I643" s="24"/>
      <x:c r="J643" s="7"/>
      <x:c r="K643" s="8" t="str">
        <x:f>IF(A643="","",DATE(YEAR(A643),MONTH(A643),1))</x:f>
      </x:c>
    </x:row>
    <x:row r="644">
      <x:c r="A644" s="9"/>
      <x:c r="B644" s="7"/>
      <x:c r="C644" s="7" t="str">
        <x:f>IF(B644="","",XLOOKUP(B644,Employees!$A$4:$A$53,Employees!$B$4:$B$53,""))</x:f>
      </x:c>
      <x:c r="D644" s="7"/>
      <x:c r="E644" s="10" t="n">
        <x:v>8</x:v>
      </x:c>
      <x:c r="F644" s="10"/>
      <x:c r="G644" s="10" t="str">
        <x:f>IF(F644="","",MIN(F644,E644))</x:f>
      </x:c>
      <x:c r="H644" s="10" t="str">
        <x:f>IF(F644="","",MAX(0,F644-E644))</x:f>
      </x:c>
      <x:c r="I644" s="24"/>
      <x:c r="J644" s="7"/>
      <x:c r="K644" s="8" t="str">
        <x:f>IF(A644="","",DATE(YEAR(A644),MONTH(A644),1))</x:f>
      </x:c>
    </x:row>
    <x:row r="645">
      <x:c r="A645" s="9"/>
      <x:c r="B645" s="7"/>
      <x:c r="C645" s="7" t="str">
        <x:f>IF(B645="","",XLOOKUP(B645,Employees!$A$4:$A$53,Employees!$B$4:$B$53,""))</x:f>
      </x:c>
      <x:c r="D645" s="7"/>
      <x:c r="E645" s="10" t="n">
        <x:v>8</x:v>
      </x:c>
      <x:c r="F645" s="10"/>
      <x:c r="G645" s="10" t="str">
        <x:f>IF(F645="","",MIN(F645,E645))</x:f>
      </x:c>
      <x:c r="H645" s="10" t="str">
        <x:f>IF(F645="","",MAX(0,F645-E645))</x:f>
      </x:c>
      <x:c r="I645" s="24"/>
      <x:c r="J645" s="7"/>
      <x:c r="K645" s="8" t="str">
        <x:f>IF(A645="","",DATE(YEAR(A645),MONTH(A645),1))</x:f>
      </x:c>
    </x:row>
    <x:row r="646">
      <x:c r="A646" s="9"/>
      <x:c r="B646" s="7"/>
      <x:c r="C646" s="7" t="str">
        <x:f>IF(B646="","",XLOOKUP(B646,Employees!$A$4:$A$53,Employees!$B$4:$B$53,""))</x:f>
      </x:c>
      <x:c r="D646" s="7"/>
      <x:c r="E646" s="10" t="n">
        <x:v>8</x:v>
      </x:c>
      <x:c r="F646" s="10"/>
      <x:c r="G646" s="10" t="str">
        <x:f>IF(F646="","",MIN(F646,E646))</x:f>
      </x:c>
      <x:c r="H646" s="10" t="str">
        <x:f>IF(F646="","",MAX(0,F646-E646))</x:f>
      </x:c>
      <x:c r="I646" s="24"/>
      <x:c r="J646" s="7"/>
      <x:c r="K646" s="8" t="str">
        <x:f>IF(A646="","",DATE(YEAR(A646),MONTH(A646),1))</x:f>
      </x:c>
    </x:row>
    <x:row r="647">
      <x:c r="A647" s="9"/>
      <x:c r="B647" s="7"/>
      <x:c r="C647" s="7" t="str">
        <x:f>IF(B647="","",XLOOKUP(B647,Employees!$A$4:$A$53,Employees!$B$4:$B$53,""))</x:f>
      </x:c>
      <x:c r="D647" s="7"/>
      <x:c r="E647" s="10" t="n">
        <x:v>8</x:v>
      </x:c>
      <x:c r="F647" s="10"/>
      <x:c r="G647" s="10" t="str">
        <x:f>IF(F647="","",MIN(F647,E647))</x:f>
      </x:c>
      <x:c r="H647" s="10" t="str">
        <x:f>IF(F647="","",MAX(0,F647-E647))</x:f>
      </x:c>
      <x:c r="I647" s="24"/>
      <x:c r="J647" s="7"/>
      <x:c r="K647" s="8" t="str">
        <x:f>IF(A647="","",DATE(YEAR(A647),MONTH(A647),1))</x:f>
      </x:c>
    </x:row>
    <x:row r="648">
      <x:c r="A648" s="9"/>
      <x:c r="B648" s="7"/>
      <x:c r="C648" s="7" t="str">
        <x:f>IF(B648="","",XLOOKUP(B648,Employees!$A$4:$A$53,Employees!$B$4:$B$53,""))</x:f>
      </x:c>
      <x:c r="D648" s="7"/>
      <x:c r="E648" s="10" t="n">
        <x:v>8</x:v>
      </x:c>
      <x:c r="F648" s="10"/>
      <x:c r="G648" s="10" t="str">
        <x:f>IF(F648="","",MIN(F648,E648))</x:f>
      </x:c>
      <x:c r="H648" s="10" t="str">
        <x:f>IF(F648="","",MAX(0,F648-E648))</x:f>
      </x:c>
      <x:c r="I648" s="24"/>
      <x:c r="J648" s="7"/>
      <x:c r="K648" s="8" t="str">
        <x:f>IF(A648="","",DATE(YEAR(A648),MONTH(A648),1))</x:f>
      </x:c>
    </x:row>
    <x:row r="649">
      <x:c r="A649" s="9"/>
      <x:c r="B649" s="7"/>
      <x:c r="C649" s="7" t="str">
        <x:f>IF(B649="","",XLOOKUP(B649,Employees!$A$4:$A$53,Employees!$B$4:$B$53,""))</x:f>
      </x:c>
      <x:c r="D649" s="7"/>
      <x:c r="E649" s="10" t="n">
        <x:v>8</x:v>
      </x:c>
      <x:c r="F649" s="10"/>
      <x:c r="G649" s="10" t="str">
        <x:f>IF(F649="","",MIN(F649,E649))</x:f>
      </x:c>
      <x:c r="H649" s="10" t="str">
        <x:f>IF(F649="","",MAX(0,F649-E649))</x:f>
      </x:c>
      <x:c r="I649" s="24"/>
      <x:c r="J649" s="7"/>
      <x:c r="K649" s="8" t="str">
        <x:f>IF(A649="","",DATE(YEAR(A649),MONTH(A649),1))</x:f>
      </x:c>
    </x:row>
    <x:row r="650">
      <x:c r="A650" s="9"/>
      <x:c r="B650" s="7"/>
      <x:c r="C650" s="7" t="str">
        <x:f>IF(B650="","",XLOOKUP(B650,Employees!$A$4:$A$53,Employees!$B$4:$B$53,""))</x:f>
      </x:c>
      <x:c r="D650" s="7"/>
      <x:c r="E650" s="10" t="n">
        <x:v>8</x:v>
      </x:c>
      <x:c r="F650" s="10"/>
      <x:c r="G650" s="10" t="str">
        <x:f>IF(F650="","",MIN(F650,E650))</x:f>
      </x:c>
      <x:c r="H650" s="10" t="str">
        <x:f>IF(F650="","",MAX(0,F650-E650))</x:f>
      </x:c>
      <x:c r="I650" s="24"/>
      <x:c r="J650" s="7"/>
      <x:c r="K650" s="8" t="str">
        <x:f>IF(A650="","",DATE(YEAR(A650),MONTH(A650),1))</x:f>
      </x:c>
    </x:row>
    <x:row r="651">
      <x:c r="A651" s="9"/>
      <x:c r="B651" s="7"/>
      <x:c r="C651" s="7" t="str">
        <x:f>IF(B651="","",XLOOKUP(B651,Employees!$A$4:$A$53,Employees!$B$4:$B$53,""))</x:f>
      </x:c>
      <x:c r="D651" s="7"/>
      <x:c r="E651" s="10" t="n">
        <x:v>8</x:v>
      </x:c>
      <x:c r="F651" s="10"/>
      <x:c r="G651" s="10" t="str">
        <x:f>IF(F651="","",MIN(F651,E651))</x:f>
      </x:c>
      <x:c r="H651" s="10" t="str">
        <x:f>IF(F651="","",MAX(0,F651-E651))</x:f>
      </x:c>
      <x:c r="I651" s="24"/>
      <x:c r="J651" s="7"/>
      <x:c r="K651" s="8" t="str">
        <x:f>IF(A651="","",DATE(YEAR(A651),MONTH(A651),1))</x:f>
      </x:c>
    </x:row>
    <x:row r="652">
      <x:c r="A652" s="9"/>
      <x:c r="B652" s="7"/>
      <x:c r="C652" s="7" t="str">
        <x:f>IF(B652="","",XLOOKUP(B652,Employees!$A$4:$A$53,Employees!$B$4:$B$53,""))</x:f>
      </x:c>
      <x:c r="D652" s="7"/>
      <x:c r="E652" s="10" t="n">
        <x:v>8</x:v>
      </x:c>
      <x:c r="F652" s="10"/>
      <x:c r="G652" s="10" t="str">
        <x:f>IF(F652="","",MIN(F652,E652))</x:f>
      </x:c>
      <x:c r="H652" s="10" t="str">
        <x:f>IF(F652="","",MAX(0,F652-E652))</x:f>
      </x:c>
      <x:c r="I652" s="24"/>
      <x:c r="J652" s="7"/>
      <x:c r="K652" s="8" t="str">
        <x:f>IF(A652="","",DATE(YEAR(A652),MONTH(A652),1))</x:f>
      </x:c>
    </x:row>
    <x:row r="653">
      <x:c r="A653" s="9"/>
      <x:c r="B653" s="7"/>
      <x:c r="C653" s="7" t="str">
        <x:f>IF(B653="","",XLOOKUP(B653,Employees!$A$4:$A$53,Employees!$B$4:$B$53,""))</x:f>
      </x:c>
      <x:c r="D653" s="7"/>
      <x:c r="E653" s="10" t="n">
        <x:v>8</x:v>
      </x:c>
      <x:c r="F653" s="10"/>
      <x:c r="G653" s="10" t="str">
        <x:f>IF(F653="","",MIN(F653,E653))</x:f>
      </x:c>
      <x:c r="H653" s="10" t="str">
        <x:f>IF(F653="","",MAX(0,F653-E653))</x:f>
      </x:c>
      <x:c r="I653" s="24"/>
      <x:c r="J653" s="7"/>
      <x:c r="K653" s="8" t="str">
        <x:f>IF(A653="","",DATE(YEAR(A653),MONTH(A653),1))</x:f>
      </x:c>
    </x:row>
    <x:row r="654">
      <x:c r="A654" s="9"/>
      <x:c r="B654" s="7"/>
      <x:c r="C654" s="7" t="str">
        <x:f>IF(B654="","",XLOOKUP(B654,Employees!$A$4:$A$53,Employees!$B$4:$B$53,""))</x:f>
      </x:c>
      <x:c r="D654" s="7"/>
      <x:c r="E654" s="10" t="n">
        <x:v>8</x:v>
      </x:c>
      <x:c r="F654" s="10"/>
      <x:c r="G654" s="10" t="str">
        <x:f>IF(F654="","",MIN(F654,E654))</x:f>
      </x:c>
      <x:c r="H654" s="10" t="str">
        <x:f>IF(F654="","",MAX(0,F654-E654))</x:f>
      </x:c>
      <x:c r="I654" s="24"/>
      <x:c r="J654" s="7"/>
      <x:c r="K654" s="8" t="str">
        <x:f>IF(A654="","",DATE(YEAR(A654),MONTH(A654),1))</x:f>
      </x:c>
    </x:row>
    <x:row r="655">
      <x:c r="A655" s="9"/>
      <x:c r="B655" s="7"/>
      <x:c r="C655" s="7" t="str">
        <x:f>IF(B655="","",XLOOKUP(B655,Employees!$A$4:$A$53,Employees!$B$4:$B$53,""))</x:f>
      </x:c>
      <x:c r="D655" s="7"/>
      <x:c r="E655" s="10" t="n">
        <x:v>8</x:v>
      </x:c>
      <x:c r="F655" s="10"/>
      <x:c r="G655" s="10" t="str">
        <x:f>IF(F655="","",MIN(F655,E655))</x:f>
      </x:c>
      <x:c r="H655" s="10" t="str">
        <x:f>IF(F655="","",MAX(0,F655-E655))</x:f>
      </x:c>
      <x:c r="I655" s="24"/>
      <x:c r="J655" s="7"/>
      <x:c r="K655" s="8" t="str">
        <x:f>IF(A655="","",DATE(YEAR(A655),MONTH(A655),1))</x:f>
      </x:c>
    </x:row>
    <x:row r="656">
      <x:c r="A656" s="9"/>
      <x:c r="B656" s="7"/>
      <x:c r="C656" s="7" t="str">
        <x:f>IF(B656="","",XLOOKUP(B656,Employees!$A$4:$A$53,Employees!$B$4:$B$53,""))</x:f>
      </x:c>
      <x:c r="D656" s="7"/>
      <x:c r="E656" s="10" t="n">
        <x:v>8</x:v>
      </x:c>
      <x:c r="F656" s="10"/>
      <x:c r="G656" s="10" t="str">
        <x:f>IF(F656="","",MIN(F656,E656))</x:f>
      </x:c>
      <x:c r="H656" s="10" t="str">
        <x:f>IF(F656="","",MAX(0,F656-E656))</x:f>
      </x:c>
      <x:c r="I656" s="24"/>
      <x:c r="J656" s="7"/>
      <x:c r="K656" s="8" t="str">
        <x:f>IF(A656="","",DATE(YEAR(A656),MONTH(A656),1))</x:f>
      </x:c>
    </x:row>
    <x:row r="657">
      <x:c r="A657" s="9"/>
      <x:c r="B657" s="7"/>
      <x:c r="C657" s="7" t="str">
        <x:f>IF(B657="","",XLOOKUP(B657,Employees!$A$4:$A$53,Employees!$B$4:$B$53,""))</x:f>
      </x:c>
      <x:c r="D657" s="7"/>
      <x:c r="E657" s="10" t="n">
        <x:v>8</x:v>
      </x:c>
      <x:c r="F657" s="10"/>
      <x:c r="G657" s="10" t="str">
        <x:f>IF(F657="","",MIN(F657,E657))</x:f>
      </x:c>
      <x:c r="H657" s="10" t="str">
        <x:f>IF(F657="","",MAX(0,F657-E657))</x:f>
      </x:c>
      <x:c r="I657" s="24"/>
      <x:c r="J657" s="7"/>
      <x:c r="K657" s="8" t="str">
        <x:f>IF(A657="","",DATE(YEAR(A657),MONTH(A657),1))</x:f>
      </x:c>
    </x:row>
    <x:row r="658">
      <x:c r="A658" s="9"/>
      <x:c r="B658" s="7"/>
      <x:c r="C658" s="7" t="str">
        <x:f>IF(B658="","",XLOOKUP(B658,Employees!$A$4:$A$53,Employees!$B$4:$B$53,""))</x:f>
      </x:c>
      <x:c r="D658" s="7"/>
      <x:c r="E658" s="10" t="n">
        <x:v>8</x:v>
      </x:c>
      <x:c r="F658" s="10"/>
      <x:c r="G658" s="10" t="str">
        <x:f>IF(F658="","",MIN(F658,E658))</x:f>
      </x:c>
      <x:c r="H658" s="10" t="str">
        <x:f>IF(F658="","",MAX(0,F658-E658))</x:f>
      </x:c>
      <x:c r="I658" s="24"/>
      <x:c r="J658" s="7"/>
      <x:c r="K658" s="8" t="str">
        <x:f>IF(A658="","",DATE(YEAR(A658),MONTH(A658),1))</x:f>
      </x:c>
    </x:row>
    <x:row r="659">
      <x:c r="A659" s="9"/>
      <x:c r="B659" s="7"/>
      <x:c r="C659" s="7" t="str">
        <x:f>IF(B659="","",XLOOKUP(B659,Employees!$A$4:$A$53,Employees!$B$4:$B$53,""))</x:f>
      </x:c>
      <x:c r="D659" s="7"/>
      <x:c r="E659" s="10" t="n">
        <x:v>8</x:v>
      </x:c>
      <x:c r="F659" s="10"/>
      <x:c r="G659" s="10" t="str">
        <x:f>IF(F659="","",MIN(F659,E659))</x:f>
      </x:c>
      <x:c r="H659" s="10" t="str">
        <x:f>IF(F659="","",MAX(0,F659-E659))</x:f>
      </x:c>
      <x:c r="I659" s="24"/>
      <x:c r="J659" s="7"/>
      <x:c r="K659" s="8" t="str">
        <x:f>IF(A659="","",DATE(YEAR(A659),MONTH(A659),1))</x:f>
      </x:c>
    </x:row>
    <x:row r="660">
      <x:c r="A660" s="9"/>
      <x:c r="B660" s="7"/>
      <x:c r="C660" s="7" t="str">
        <x:f>IF(B660="","",XLOOKUP(B660,Employees!$A$4:$A$53,Employees!$B$4:$B$53,""))</x:f>
      </x:c>
      <x:c r="D660" s="7"/>
      <x:c r="E660" s="10" t="n">
        <x:v>8</x:v>
      </x:c>
      <x:c r="F660" s="10"/>
      <x:c r="G660" s="10" t="str">
        <x:f>IF(F660="","",MIN(F660,E660))</x:f>
      </x:c>
      <x:c r="H660" s="10" t="str">
        <x:f>IF(F660="","",MAX(0,F660-E660))</x:f>
      </x:c>
      <x:c r="I660" s="24"/>
      <x:c r="J660" s="7"/>
      <x:c r="K660" s="8" t="str">
        <x:f>IF(A660="","",DATE(YEAR(A660),MONTH(A660),1))</x:f>
      </x:c>
    </x:row>
    <x:row r="661">
      <x:c r="A661" s="9"/>
      <x:c r="B661" s="7"/>
      <x:c r="C661" s="7" t="str">
        <x:f>IF(B661="","",XLOOKUP(B661,Employees!$A$4:$A$53,Employees!$B$4:$B$53,""))</x:f>
      </x:c>
      <x:c r="D661" s="7"/>
      <x:c r="E661" s="10" t="n">
        <x:v>8</x:v>
      </x:c>
      <x:c r="F661" s="10"/>
      <x:c r="G661" s="10" t="str">
        <x:f>IF(F661="","",MIN(F661,E661))</x:f>
      </x:c>
      <x:c r="H661" s="10" t="str">
        <x:f>IF(F661="","",MAX(0,F661-E661))</x:f>
      </x:c>
      <x:c r="I661" s="24"/>
      <x:c r="J661" s="7"/>
      <x:c r="K661" s="8" t="str">
        <x:f>IF(A661="","",DATE(YEAR(A661),MONTH(A661),1))</x:f>
      </x:c>
    </x:row>
    <x:row r="662">
      <x:c r="A662" s="9"/>
      <x:c r="B662" s="7"/>
      <x:c r="C662" s="7" t="str">
        <x:f>IF(B662="","",XLOOKUP(B662,Employees!$A$4:$A$53,Employees!$B$4:$B$53,""))</x:f>
      </x:c>
      <x:c r="D662" s="7"/>
      <x:c r="E662" s="10" t="n">
        <x:v>8</x:v>
      </x:c>
      <x:c r="F662" s="10"/>
      <x:c r="G662" s="10" t="str">
        <x:f>IF(F662="","",MIN(F662,E662))</x:f>
      </x:c>
      <x:c r="H662" s="10" t="str">
        <x:f>IF(F662="","",MAX(0,F662-E662))</x:f>
      </x:c>
      <x:c r="I662" s="24"/>
      <x:c r="J662" s="7"/>
      <x:c r="K662" s="8" t="str">
        <x:f>IF(A662="","",DATE(YEAR(A662),MONTH(A662),1))</x:f>
      </x:c>
    </x:row>
    <x:row r="663">
      <x:c r="A663" s="9"/>
      <x:c r="B663" s="7"/>
      <x:c r="C663" s="7" t="str">
        <x:f>IF(B663="","",XLOOKUP(B663,Employees!$A$4:$A$53,Employees!$B$4:$B$53,""))</x:f>
      </x:c>
      <x:c r="D663" s="7"/>
      <x:c r="E663" s="10" t="n">
        <x:v>8</x:v>
      </x:c>
      <x:c r="F663" s="10"/>
      <x:c r="G663" s="10" t="str">
        <x:f>IF(F663="","",MIN(F663,E663))</x:f>
      </x:c>
      <x:c r="H663" s="10" t="str">
        <x:f>IF(F663="","",MAX(0,F663-E663))</x:f>
      </x:c>
      <x:c r="I663" s="24"/>
      <x:c r="J663" s="7"/>
      <x:c r="K663" s="8" t="str">
        <x:f>IF(A663="","",DATE(YEAR(A663),MONTH(A663),1))</x:f>
      </x:c>
    </x:row>
    <x:row r="664">
      <x:c r="A664" s="9"/>
      <x:c r="B664" s="7"/>
      <x:c r="C664" s="7" t="str">
        <x:f>IF(B664="","",XLOOKUP(B664,Employees!$A$4:$A$53,Employees!$B$4:$B$53,""))</x:f>
      </x:c>
      <x:c r="D664" s="7"/>
      <x:c r="E664" s="10" t="n">
        <x:v>8</x:v>
      </x:c>
      <x:c r="F664" s="10"/>
      <x:c r="G664" s="10" t="str">
        <x:f>IF(F664="","",MIN(F664,E664))</x:f>
      </x:c>
      <x:c r="H664" s="10" t="str">
        <x:f>IF(F664="","",MAX(0,F664-E664))</x:f>
      </x:c>
      <x:c r="I664" s="24"/>
      <x:c r="J664" s="7"/>
      <x:c r="K664" s="8" t="str">
        <x:f>IF(A664="","",DATE(YEAR(A664),MONTH(A664),1))</x:f>
      </x:c>
    </x:row>
    <x:row r="665">
      <x:c r="A665" s="9"/>
      <x:c r="B665" s="7"/>
      <x:c r="C665" s="7" t="str">
        <x:f>IF(B665="","",XLOOKUP(B665,Employees!$A$4:$A$53,Employees!$B$4:$B$53,""))</x:f>
      </x:c>
      <x:c r="D665" s="7"/>
      <x:c r="E665" s="10" t="n">
        <x:v>8</x:v>
      </x:c>
      <x:c r="F665" s="10"/>
      <x:c r="G665" s="10" t="str">
        <x:f>IF(F665="","",MIN(F665,E665))</x:f>
      </x:c>
      <x:c r="H665" s="10" t="str">
        <x:f>IF(F665="","",MAX(0,F665-E665))</x:f>
      </x:c>
      <x:c r="I665" s="24"/>
      <x:c r="J665" s="7"/>
      <x:c r="K665" s="8" t="str">
        <x:f>IF(A665="","",DATE(YEAR(A665),MONTH(A665),1))</x:f>
      </x:c>
    </x:row>
    <x:row r="666">
      <x:c r="A666" s="9"/>
      <x:c r="B666" s="7"/>
      <x:c r="C666" s="7" t="str">
        <x:f>IF(B666="","",XLOOKUP(B666,Employees!$A$4:$A$53,Employees!$B$4:$B$53,""))</x:f>
      </x:c>
      <x:c r="D666" s="7"/>
      <x:c r="E666" s="10" t="n">
        <x:v>8</x:v>
      </x:c>
      <x:c r="F666" s="10"/>
      <x:c r="G666" s="10" t="str">
        <x:f>IF(F666="","",MIN(F666,E666))</x:f>
      </x:c>
      <x:c r="H666" s="10" t="str">
        <x:f>IF(F666="","",MAX(0,F666-E666))</x:f>
      </x:c>
      <x:c r="I666" s="24"/>
      <x:c r="J666" s="7"/>
      <x:c r="K666" s="8" t="str">
        <x:f>IF(A666="","",DATE(YEAR(A666),MONTH(A666),1))</x:f>
      </x:c>
    </x:row>
    <x:row r="667">
      <x:c r="A667" s="9"/>
      <x:c r="B667" s="7"/>
      <x:c r="C667" s="7" t="str">
        <x:f>IF(B667="","",XLOOKUP(B667,Employees!$A$4:$A$53,Employees!$B$4:$B$53,""))</x:f>
      </x:c>
      <x:c r="D667" s="7"/>
      <x:c r="E667" s="10" t="n">
        <x:v>8</x:v>
      </x:c>
      <x:c r="F667" s="10"/>
      <x:c r="G667" s="10" t="str">
        <x:f>IF(F667="","",MIN(F667,E667))</x:f>
      </x:c>
      <x:c r="H667" s="10" t="str">
        <x:f>IF(F667="","",MAX(0,F667-E667))</x:f>
      </x:c>
      <x:c r="I667" s="24"/>
      <x:c r="J667" s="7"/>
      <x:c r="K667" s="8" t="str">
        <x:f>IF(A667="","",DATE(YEAR(A667),MONTH(A667),1))</x:f>
      </x:c>
    </x:row>
    <x:row r="668">
      <x:c r="A668" s="9"/>
      <x:c r="B668" s="7"/>
      <x:c r="C668" s="7" t="str">
        <x:f>IF(B668="","",XLOOKUP(B668,Employees!$A$4:$A$53,Employees!$B$4:$B$53,""))</x:f>
      </x:c>
      <x:c r="D668" s="7"/>
      <x:c r="E668" s="10" t="n">
        <x:v>8</x:v>
      </x:c>
      <x:c r="F668" s="10"/>
      <x:c r="G668" s="10" t="str">
        <x:f>IF(F668="","",MIN(F668,E668))</x:f>
      </x:c>
      <x:c r="H668" s="10" t="str">
        <x:f>IF(F668="","",MAX(0,F668-E668))</x:f>
      </x:c>
      <x:c r="I668" s="24"/>
      <x:c r="J668" s="7"/>
      <x:c r="K668" s="8" t="str">
        <x:f>IF(A668="","",DATE(YEAR(A668),MONTH(A668),1))</x:f>
      </x:c>
    </x:row>
    <x:row r="669">
      <x:c r="A669" s="9"/>
      <x:c r="B669" s="7"/>
      <x:c r="C669" s="7" t="str">
        <x:f>IF(B669="","",XLOOKUP(B669,Employees!$A$4:$A$53,Employees!$B$4:$B$53,""))</x:f>
      </x:c>
      <x:c r="D669" s="7"/>
      <x:c r="E669" s="10" t="n">
        <x:v>8</x:v>
      </x:c>
      <x:c r="F669" s="10"/>
      <x:c r="G669" s="10" t="str">
        <x:f>IF(F669="","",MIN(F669,E669))</x:f>
      </x:c>
      <x:c r="H669" s="10" t="str">
        <x:f>IF(F669="","",MAX(0,F669-E669))</x:f>
      </x:c>
      <x:c r="I669" s="24"/>
      <x:c r="J669" s="7"/>
      <x:c r="K669" s="8" t="str">
        <x:f>IF(A669="","",DATE(YEAR(A669),MONTH(A669),1))</x:f>
      </x:c>
    </x:row>
    <x:row r="670">
      <x:c r="A670" s="9"/>
      <x:c r="B670" s="7"/>
      <x:c r="C670" s="7" t="str">
        <x:f>IF(B670="","",XLOOKUP(B670,Employees!$A$4:$A$53,Employees!$B$4:$B$53,""))</x:f>
      </x:c>
      <x:c r="D670" s="7"/>
      <x:c r="E670" s="10" t="n">
        <x:v>8</x:v>
      </x:c>
      <x:c r="F670" s="10"/>
      <x:c r="G670" s="10" t="str">
        <x:f>IF(F670="","",MIN(F670,E670))</x:f>
      </x:c>
      <x:c r="H670" s="10" t="str">
        <x:f>IF(F670="","",MAX(0,F670-E670))</x:f>
      </x:c>
      <x:c r="I670" s="24"/>
      <x:c r="J670" s="7"/>
      <x:c r="K670" s="8" t="str">
        <x:f>IF(A670="","",DATE(YEAR(A670),MONTH(A670),1))</x:f>
      </x:c>
    </x:row>
    <x:row r="671">
      <x:c r="A671" s="9"/>
      <x:c r="B671" s="7"/>
      <x:c r="C671" s="7" t="str">
        <x:f>IF(B671="","",XLOOKUP(B671,Employees!$A$4:$A$53,Employees!$B$4:$B$53,""))</x:f>
      </x:c>
      <x:c r="D671" s="7"/>
      <x:c r="E671" s="10" t="n">
        <x:v>8</x:v>
      </x:c>
      <x:c r="F671" s="10"/>
      <x:c r="G671" s="10" t="str">
        <x:f>IF(F671="","",MIN(F671,E671))</x:f>
      </x:c>
      <x:c r="H671" s="10" t="str">
        <x:f>IF(F671="","",MAX(0,F671-E671))</x:f>
      </x:c>
      <x:c r="I671" s="24"/>
      <x:c r="J671" s="7"/>
      <x:c r="K671" s="8" t="str">
        <x:f>IF(A671="","",DATE(YEAR(A671),MONTH(A671),1))</x:f>
      </x:c>
    </x:row>
    <x:row r="672">
      <x:c r="A672" s="9"/>
      <x:c r="B672" s="7"/>
      <x:c r="C672" s="7" t="str">
        <x:f>IF(B672="","",XLOOKUP(B672,Employees!$A$4:$A$53,Employees!$B$4:$B$53,""))</x:f>
      </x:c>
      <x:c r="D672" s="7"/>
      <x:c r="E672" s="10" t="n">
        <x:v>8</x:v>
      </x:c>
      <x:c r="F672" s="10"/>
      <x:c r="G672" s="10" t="str">
        <x:f>IF(F672="","",MIN(F672,E672))</x:f>
      </x:c>
      <x:c r="H672" s="10" t="str">
        <x:f>IF(F672="","",MAX(0,F672-E672))</x:f>
      </x:c>
      <x:c r="I672" s="24"/>
      <x:c r="J672" s="7"/>
      <x:c r="K672" s="8" t="str">
        <x:f>IF(A672="","",DATE(YEAR(A672),MONTH(A672),1))</x:f>
      </x:c>
    </x:row>
    <x:row r="673">
      <x:c r="A673" s="9"/>
      <x:c r="B673" s="7"/>
      <x:c r="C673" s="7" t="str">
        <x:f>IF(B673="","",XLOOKUP(B673,Employees!$A$4:$A$53,Employees!$B$4:$B$53,""))</x:f>
      </x:c>
      <x:c r="D673" s="7"/>
      <x:c r="E673" s="10" t="n">
        <x:v>8</x:v>
      </x:c>
      <x:c r="F673" s="10"/>
      <x:c r="G673" s="10" t="str">
        <x:f>IF(F673="","",MIN(F673,E673))</x:f>
      </x:c>
      <x:c r="H673" s="10" t="str">
        <x:f>IF(F673="","",MAX(0,F673-E673))</x:f>
      </x:c>
      <x:c r="I673" s="24"/>
      <x:c r="J673" s="7"/>
      <x:c r="K673" s="8" t="str">
        <x:f>IF(A673="","",DATE(YEAR(A673),MONTH(A673),1))</x:f>
      </x:c>
    </x:row>
    <x:row r="674">
      <x:c r="A674" s="9"/>
      <x:c r="B674" s="7"/>
      <x:c r="C674" s="7" t="str">
        <x:f>IF(B674="","",XLOOKUP(B674,Employees!$A$4:$A$53,Employees!$B$4:$B$53,""))</x:f>
      </x:c>
      <x:c r="D674" s="7"/>
      <x:c r="E674" s="10" t="n">
        <x:v>8</x:v>
      </x:c>
      <x:c r="F674" s="10"/>
      <x:c r="G674" s="10" t="str">
        <x:f>IF(F674="","",MIN(F674,E674))</x:f>
      </x:c>
      <x:c r="H674" s="10" t="str">
        <x:f>IF(F674="","",MAX(0,F674-E674))</x:f>
      </x:c>
      <x:c r="I674" s="24"/>
      <x:c r="J674" s="7"/>
      <x:c r="K674" s="8" t="str">
        <x:f>IF(A674="","",DATE(YEAR(A674),MONTH(A674),1))</x:f>
      </x:c>
    </x:row>
    <x:row r="675">
      <x:c r="A675" s="9"/>
      <x:c r="B675" s="7"/>
      <x:c r="C675" s="7" t="str">
        <x:f>IF(B675="","",XLOOKUP(B675,Employees!$A$4:$A$53,Employees!$B$4:$B$53,""))</x:f>
      </x:c>
      <x:c r="D675" s="7"/>
      <x:c r="E675" s="10" t="n">
        <x:v>8</x:v>
      </x:c>
      <x:c r="F675" s="10"/>
      <x:c r="G675" s="10" t="str">
        <x:f>IF(F675="","",MIN(F675,E675))</x:f>
      </x:c>
      <x:c r="H675" s="10" t="str">
        <x:f>IF(F675="","",MAX(0,F675-E675))</x:f>
      </x:c>
      <x:c r="I675" s="24"/>
      <x:c r="J675" s="7"/>
      <x:c r="K675" s="8" t="str">
        <x:f>IF(A675="","",DATE(YEAR(A675),MONTH(A675),1))</x:f>
      </x:c>
    </x:row>
    <x:row r="676">
      <x:c r="A676" s="9"/>
      <x:c r="B676" s="7"/>
      <x:c r="C676" s="7" t="str">
        <x:f>IF(B676="","",XLOOKUP(B676,Employees!$A$4:$A$53,Employees!$B$4:$B$53,""))</x:f>
      </x:c>
      <x:c r="D676" s="7"/>
      <x:c r="E676" s="10" t="n">
        <x:v>8</x:v>
      </x:c>
      <x:c r="F676" s="10"/>
      <x:c r="G676" s="10" t="str">
        <x:f>IF(F676="","",MIN(F676,E676))</x:f>
      </x:c>
      <x:c r="H676" s="10" t="str">
        <x:f>IF(F676="","",MAX(0,F676-E676))</x:f>
      </x:c>
      <x:c r="I676" s="24"/>
      <x:c r="J676" s="7"/>
      <x:c r="K676" s="8" t="str">
        <x:f>IF(A676="","",DATE(YEAR(A676),MONTH(A676),1))</x:f>
      </x:c>
    </x:row>
    <x:row r="677">
      <x:c r="A677" s="9"/>
      <x:c r="B677" s="7"/>
      <x:c r="C677" s="7" t="str">
        <x:f>IF(B677="","",XLOOKUP(B677,Employees!$A$4:$A$53,Employees!$B$4:$B$53,""))</x:f>
      </x:c>
      <x:c r="D677" s="7"/>
      <x:c r="E677" s="10" t="n">
        <x:v>8</x:v>
      </x:c>
      <x:c r="F677" s="10"/>
      <x:c r="G677" s="10" t="str">
        <x:f>IF(F677="","",MIN(F677,E677))</x:f>
      </x:c>
      <x:c r="H677" s="10" t="str">
        <x:f>IF(F677="","",MAX(0,F677-E677))</x:f>
      </x:c>
      <x:c r="I677" s="24"/>
      <x:c r="J677" s="7"/>
      <x:c r="K677" s="8" t="str">
        <x:f>IF(A677="","",DATE(YEAR(A677),MONTH(A677),1))</x:f>
      </x:c>
    </x:row>
    <x:row r="678">
      <x:c r="A678" s="9"/>
      <x:c r="B678" s="7"/>
      <x:c r="C678" s="7" t="str">
        <x:f>IF(B678="","",XLOOKUP(B678,Employees!$A$4:$A$53,Employees!$B$4:$B$53,""))</x:f>
      </x:c>
      <x:c r="D678" s="7"/>
      <x:c r="E678" s="10" t="n">
        <x:v>8</x:v>
      </x:c>
      <x:c r="F678" s="10"/>
      <x:c r="G678" s="10" t="str">
        <x:f>IF(F678="","",MIN(F678,E678))</x:f>
      </x:c>
      <x:c r="H678" s="10" t="str">
        <x:f>IF(F678="","",MAX(0,F678-E678))</x:f>
      </x:c>
      <x:c r="I678" s="24"/>
      <x:c r="J678" s="7"/>
      <x:c r="K678" s="8" t="str">
        <x:f>IF(A678="","",DATE(YEAR(A678),MONTH(A678),1))</x:f>
      </x:c>
    </x:row>
    <x:row r="679">
      <x:c r="A679" s="9"/>
      <x:c r="B679" s="7"/>
      <x:c r="C679" s="7" t="str">
        <x:f>IF(B679="","",XLOOKUP(B679,Employees!$A$4:$A$53,Employees!$B$4:$B$53,""))</x:f>
      </x:c>
      <x:c r="D679" s="7"/>
      <x:c r="E679" s="10" t="n">
        <x:v>8</x:v>
      </x:c>
      <x:c r="F679" s="10"/>
      <x:c r="G679" s="10" t="str">
        <x:f>IF(F679="","",MIN(F679,E679))</x:f>
      </x:c>
      <x:c r="H679" s="10" t="str">
        <x:f>IF(F679="","",MAX(0,F679-E679))</x:f>
      </x:c>
      <x:c r="I679" s="24"/>
      <x:c r="J679" s="7"/>
      <x:c r="K679" s="8" t="str">
        <x:f>IF(A679="","",DATE(YEAR(A679),MONTH(A679),1))</x:f>
      </x:c>
    </x:row>
    <x:row r="680">
      <x:c r="A680" s="9"/>
      <x:c r="B680" s="7"/>
      <x:c r="C680" s="7" t="str">
        <x:f>IF(B680="","",XLOOKUP(B680,Employees!$A$4:$A$53,Employees!$B$4:$B$53,""))</x:f>
      </x:c>
      <x:c r="D680" s="7"/>
      <x:c r="E680" s="10" t="n">
        <x:v>8</x:v>
      </x:c>
      <x:c r="F680" s="10"/>
      <x:c r="G680" s="10" t="str">
        <x:f>IF(F680="","",MIN(F680,E680))</x:f>
      </x:c>
      <x:c r="H680" s="10" t="str">
        <x:f>IF(F680="","",MAX(0,F680-E680))</x:f>
      </x:c>
      <x:c r="I680" s="24"/>
      <x:c r="J680" s="7"/>
      <x:c r="K680" s="8" t="str">
        <x:f>IF(A680="","",DATE(YEAR(A680),MONTH(A680),1))</x:f>
      </x:c>
    </x:row>
    <x:row r="681">
      <x:c r="A681" s="9"/>
      <x:c r="B681" s="7"/>
      <x:c r="C681" s="7" t="str">
        <x:f>IF(B681="","",XLOOKUP(B681,Employees!$A$4:$A$53,Employees!$B$4:$B$53,""))</x:f>
      </x:c>
      <x:c r="D681" s="7"/>
      <x:c r="E681" s="10" t="n">
        <x:v>8</x:v>
      </x:c>
      <x:c r="F681" s="10"/>
      <x:c r="G681" s="10" t="str">
        <x:f>IF(F681="","",MIN(F681,E681))</x:f>
      </x:c>
      <x:c r="H681" s="10" t="str">
        <x:f>IF(F681="","",MAX(0,F681-E681))</x:f>
      </x:c>
      <x:c r="I681" s="24"/>
      <x:c r="J681" s="7"/>
      <x:c r="K681" s="8" t="str">
        <x:f>IF(A681="","",DATE(YEAR(A681),MONTH(A681),1))</x:f>
      </x:c>
    </x:row>
    <x:row r="682">
      <x:c r="A682" s="9"/>
      <x:c r="B682" s="7"/>
      <x:c r="C682" s="7" t="str">
        <x:f>IF(B682="","",XLOOKUP(B682,Employees!$A$4:$A$53,Employees!$B$4:$B$53,""))</x:f>
      </x:c>
      <x:c r="D682" s="7"/>
      <x:c r="E682" s="10" t="n">
        <x:v>8</x:v>
      </x:c>
      <x:c r="F682" s="10"/>
      <x:c r="G682" s="10" t="str">
        <x:f>IF(F682="","",MIN(F682,E682))</x:f>
      </x:c>
      <x:c r="H682" s="10" t="str">
        <x:f>IF(F682="","",MAX(0,F682-E682))</x:f>
      </x:c>
      <x:c r="I682" s="24"/>
      <x:c r="J682" s="7"/>
      <x:c r="K682" s="8" t="str">
        <x:f>IF(A682="","",DATE(YEAR(A682),MONTH(A682),1))</x:f>
      </x:c>
    </x:row>
    <x:row r="683">
      <x:c r="A683" s="9"/>
      <x:c r="B683" s="7"/>
      <x:c r="C683" s="7" t="str">
        <x:f>IF(B683="","",XLOOKUP(B683,Employees!$A$4:$A$53,Employees!$B$4:$B$53,""))</x:f>
      </x:c>
      <x:c r="D683" s="7"/>
      <x:c r="E683" s="10" t="n">
        <x:v>8</x:v>
      </x:c>
      <x:c r="F683" s="10"/>
      <x:c r="G683" s="10" t="str">
        <x:f>IF(F683="","",MIN(F683,E683))</x:f>
      </x:c>
      <x:c r="H683" s="10" t="str">
        <x:f>IF(F683="","",MAX(0,F683-E683))</x:f>
      </x:c>
      <x:c r="I683" s="24"/>
      <x:c r="J683" s="7"/>
      <x:c r="K683" s="8" t="str">
        <x:f>IF(A683="","",DATE(YEAR(A683),MONTH(A683),1))</x:f>
      </x:c>
    </x:row>
    <x:row r="684">
      <x:c r="A684" s="9"/>
      <x:c r="B684" s="7"/>
      <x:c r="C684" s="7" t="str">
        <x:f>IF(B684="","",XLOOKUP(B684,Employees!$A$4:$A$53,Employees!$B$4:$B$53,""))</x:f>
      </x:c>
      <x:c r="D684" s="7"/>
      <x:c r="E684" s="10" t="n">
        <x:v>8</x:v>
      </x:c>
      <x:c r="F684" s="10"/>
      <x:c r="G684" s="10" t="str">
        <x:f>IF(F684="","",MIN(F684,E684))</x:f>
      </x:c>
      <x:c r="H684" s="10" t="str">
        <x:f>IF(F684="","",MAX(0,F684-E684))</x:f>
      </x:c>
      <x:c r="I684" s="24"/>
      <x:c r="J684" s="7"/>
      <x:c r="K684" s="8" t="str">
        <x:f>IF(A684="","",DATE(YEAR(A684),MONTH(A684),1))</x:f>
      </x:c>
    </x:row>
    <x:row r="685">
      <x:c r="A685" s="9"/>
      <x:c r="B685" s="7"/>
      <x:c r="C685" s="7" t="str">
        <x:f>IF(B685="","",XLOOKUP(B685,Employees!$A$4:$A$53,Employees!$B$4:$B$53,""))</x:f>
      </x:c>
      <x:c r="D685" s="7"/>
      <x:c r="E685" s="10" t="n">
        <x:v>8</x:v>
      </x:c>
      <x:c r="F685" s="10"/>
      <x:c r="G685" s="10" t="str">
        <x:f>IF(F685="","",MIN(F685,E685))</x:f>
      </x:c>
      <x:c r="H685" s="10" t="str">
        <x:f>IF(F685="","",MAX(0,F685-E685))</x:f>
      </x:c>
      <x:c r="I685" s="24"/>
      <x:c r="J685" s="7"/>
      <x:c r="K685" s="8" t="str">
        <x:f>IF(A685="","",DATE(YEAR(A685),MONTH(A685),1))</x:f>
      </x:c>
    </x:row>
    <x:row r="686">
      <x:c r="A686" s="9"/>
      <x:c r="B686" s="7"/>
      <x:c r="C686" s="7" t="str">
        <x:f>IF(B686="","",XLOOKUP(B686,Employees!$A$4:$A$53,Employees!$B$4:$B$53,""))</x:f>
      </x:c>
      <x:c r="D686" s="7"/>
      <x:c r="E686" s="10" t="n">
        <x:v>8</x:v>
      </x:c>
      <x:c r="F686" s="10"/>
      <x:c r="G686" s="10" t="str">
        <x:f>IF(F686="","",MIN(F686,E686))</x:f>
      </x:c>
      <x:c r="H686" s="10" t="str">
        <x:f>IF(F686="","",MAX(0,F686-E686))</x:f>
      </x:c>
      <x:c r="I686" s="24"/>
      <x:c r="J686" s="7"/>
      <x:c r="K686" s="8" t="str">
        <x:f>IF(A686="","",DATE(YEAR(A686),MONTH(A686),1))</x:f>
      </x:c>
    </x:row>
    <x:row r="687">
      <x:c r="A687" s="9"/>
      <x:c r="B687" s="7"/>
      <x:c r="C687" s="7" t="str">
        <x:f>IF(B687="","",XLOOKUP(B687,Employees!$A$4:$A$53,Employees!$B$4:$B$53,""))</x:f>
      </x:c>
      <x:c r="D687" s="7"/>
      <x:c r="E687" s="10" t="n">
        <x:v>8</x:v>
      </x:c>
      <x:c r="F687" s="10"/>
      <x:c r="G687" s="10" t="str">
        <x:f>IF(F687="","",MIN(F687,E687))</x:f>
      </x:c>
      <x:c r="H687" s="10" t="str">
        <x:f>IF(F687="","",MAX(0,F687-E687))</x:f>
      </x:c>
      <x:c r="I687" s="24"/>
      <x:c r="J687" s="7"/>
      <x:c r="K687" s="8" t="str">
        <x:f>IF(A687="","",DATE(YEAR(A687),MONTH(A687),1))</x:f>
      </x:c>
    </x:row>
    <x:row r="688">
      <x:c r="A688" s="9"/>
      <x:c r="B688" s="7"/>
      <x:c r="C688" s="7" t="str">
        <x:f>IF(B688="","",XLOOKUP(B688,Employees!$A$4:$A$53,Employees!$B$4:$B$53,""))</x:f>
      </x:c>
      <x:c r="D688" s="7"/>
      <x:c r="E688" s="10" t="n">
        <x:v>8</x:v>
      </x:c>
      <x:c r="F688" s="10"/>
      <x:c r="G688" s="10" t="str">
        <x:f>IF(F688="","",MIN(F688,E688))</x:f>
      </x:c>
      <x:c r="H688" s="10" t="str">
        <x:f>IF(F688="","",MAX(0,F688-E688))</x:f>
      </x:c>
      <x:c r="I688" s="24"/>
      <x:c r="J688" s="7"/>
      <x:c r="K688" s="8" t="str">
        <x:f>IF(A688="","",DATE(YEAR(A688),MONTH(A688),1))</x:f>
      </x:c>
    </x:row>
    <x:row r="689">
      <x:c r="A689" s="9"/>
      <x:c r="B689" s="7"/>
      <x:c r="C689" s="7" t="str">
        <x:f>IF(B689="","",XLOOKUP(B689,Employees!$A$4:$A$53,Employees!$B$4:$B$53,""))</x:f>
      </x:c>
      <x:c r="D689" s="7"/>
      <x:c r="E689" s="10" t="n">
        <x:v>8</x:v>
      </x:c>
      <x:c r="F689" s="10"/>
      <x:c r="G689" s="10" t="str">
        <x:f>IF(F689="","",MIN(F689,E689))</x:f>
      </x:c>
      <x:c r="H689" s="10" t="str">
        <x:f>IF(F689="","",MAX(0,F689-E689))</x:f>
      </x:c>
      <x:c r="I689" s="24"/>
      <x:c r="J689" s="7"/>
      <x:c r="K689" s="8" t="str">
        <x:f>IF(A689="","",DATE(YEAR(A689),MONTH(A689),1))</x:f>
      </x:c>
    </x:row>
    <x:row r="690">
      <x:c r="A690" s="9"/>
      <x:c r="B690" s="7"/>
      <x:c r="C690" s="7" t="str">
        <x:f>IF(B690="","",XLOOKUP(B690,Employees!$A$4:$A$53,Employees!$B$4:$B$53,""))</x:f>
      </x:c>
      <x:c r="D690" s="7"/>
      <x:c r="E690" s="10" t="n">
        <x:v>8</x:v>
      </x:c>
      <x:c r="F690" s="10"/>
      <x:c r="G690" s="10" t="str">
        <x:f>IF(F690="","",MIN(F690,E690))</x:f>
      </x:c>
      <x:c r="H690" s="10" t="str">
        <x:f>IF(F690="","",MAX(0,F690-E690))</x:f>
      </x:c>
      <x:c r="I690" s="24"/>
      <x:c r="J690" s="7"/>
      <x:c r="K690" s="8" t="str">
        <x:f>IF(A690="","",DATE(YEAR(A690),MONTH(A690),1))</x:f>
      </x:c>
    </x:row>
    <x:row r="691">
      <x:c r="A691" s="9"/>
      <x:c r="B691" s="7"/>
      <x:c r="C691" s="7" t="str">
        <x:f>IF(B691="","",XLOOKUP(B691,Employees!$A$4:$A$53,Employees!$B$4:$B$53,""))</x:f>
      </x:c>
      <x:c r="D691" s="7"/>
      <x:c r="E691" s="10" t="n">
        <x:v>8</x:v>
      </x:c>
      <x:c r="F691" s="10"/>
      <x:c r="G691" s="10" t="str">
        <x:f>IF(F691="","",MIN(F691,E691))</x:f>
      </x:c>
      <x:c r="H691" s="10" t="str">
        <x:f>IF(F691="","",MAX(0,F691-E691))</x:f>
      </x:c>
      <x:c r="I691" s="24"/>
      <x:c r="J691" s="7"/>
      <x:c r="K691" s="8" t="str">
        <x:f>IF(A691="","",DATE(YEAR(A691),MONTH(A691),1))</x:f>
      </x:c>
    </x:row>
    <x:row r="692">
      <x:c r="A692" s="9"/>
      <x:c r="B692" s="7"/>
      <x:c r="C692" s="7" t="str">
        <x:f>IF(B692="","",XLOOKUP(B692,Employees!$A$4:$A$53,Employees!$B$4:$B$53,""))</x:f>
      </x:c>
      <x:c r="D692" s="7"/>
      <x:c r="E692" s="10" t="n">
        <x:v>8</x:v>
      </x:c>
      <x:c r="F692" s="10"/>
      <x:c r="G692" s="10" t="str">
        <x:f>IF(F692="","",MIN(F692,E692))</x:f>
      </x:c>
      <x:c r="H692" s="10" t="str">
        <x:f>IF(F692="","",MAX(0,F692-E692))</x:f>
      </x:c>
      <x:c r="I692" s="24"/>
      <x:c r="J692" s="7"/>
      <x:c r="K692" s="8" t="str">
        <x:f>IF(A692="","",DATE(YEAR(A692),MONTH(A692),1))</x:f>
      </x:c>
    </x:row>
    <x:row r="693">
      <x:c r="A693" s="9"/>
      <x:c r="B693" s="7"/>
      <x:c r="C693" s="7" t="str">
        <x:f>IF(B693="","",XLOOKUP(B693,Employees!$A$4:$A$53,Employees!$B$4:$B$53,""))</x:f>
      </x:c>
      <x:c r="D693" s="7"/>
      <x:c r="E693" s="10" t="n">
        <x:v>8</x:v>
      </x:c>
      <x:c r="F693" s="10"/>
      <x:c r="G693" s="10" t="str">
        <x:f>IF(F693="","",MIN(F693,E693))</x:f>
      </x:c>
      <x:c r="H693" s="10" t="str">
        <x:f>IF(F693="","",MAX(0,F693-E693))</x:f>
      </x:c>
      <x:c r="I693" s="24"/>
      <x:c r="J693" s="7"/>
      <x:c r="K693" s="8" t="str">
        <x:f>IF(A693="","",DATE(YEAR(A693),MONTH(A693),1))</x:f>
      </x:c>
    </x:row>
    <x:row r="694">
      <x:c r="A694" s="9"/>
      <x:c r="B694" s="7"/>
      <x:c r="C694" s="7" t="str">
        <x:f>IF(B694="","",XLOOKUP(B694,Employees!$A$4:$A$53,Employees!$B$4:$B$53,""))</x:f>
      </x:c>
      <x:c r="D694" s="7"/>
      <x:c r="E694" s="10" t="n">
        <x:v>8</x:v>
      </x:c>
      <x:c r="F694" s="10"/>
      <x:c r="G694" s="10" t="str">
        <x:f>IF(F694="","",MIN(F694,E694))</x:f>
      </x:c>
      <x:c r="H694" s="10" t="str">
        <x:f>IF(F694="","",MAX(0,F694-E694))</x:f>
      </x:c>
      <x:c r="I694" s="24"/>
      <x:c r="J694" s="7"/>
      <x:c r="K694" s="8" t="str">
        <x:f>IF(A694="","",DATE(YEAR(A694),MONTH(A694),1))</x:f>
      </x:c>
    </x:row>
    <x:row r="695">
      <x:c r="A695" s="9"/>
      <x:c r="B695" s="7"/>
      <x:c r="C695" s="7" t="str">
        <x:f>IF(B695="","",XLOOKUP(B695,Employees!$A$4:$A$53,Employees!$B$4:$B$53,""))</x:f>
      </x:c>
      <x:c r="D695" s="7"/>
      <x:c r="E695" s="10" t="n">
        <x:v>8</x:v>
      </x:c>
      <x:c r="F695" s="10"/>
      <x:c r="G695" s="10" t="str">
        <x:f>IF(F695="","",MIN(F695,E695))</x:f>
      </x:c>
      <x:c r="H695" s="10" t="str">
        <x:f>IF(F695="","",MAX(0,F695-E695))</x:f>
      </x:c>
      <x:c r="I695" s="24"/>
      <x:c r="J695" s="7"/>
      <x:c r="K695" s="8" t="str">
        <x:f>IF(A695="","",DATE(YEAR(A695),MONTH(A695),1))</x:f>
      </x:c>
    </x:row>
    <x:row r="696">
      <x:c r="A696" s="9"/>
      <x:c r="B696" s="7"/>
      <x:c r="C696" s="7" t="str">
        <x:f>IF(B696="","",XLOOKUP(B696,Employees!$A$4:$A$53,Employees!$B$4:$B$53,""))</x:f>
      </x:c>
      <x:c r="D696" s="7"/>
      <x:c r="E696" s="10" t="n">
        <x:v>8</x:v>
      </x:c>
      <x:c r="F696" s="10"/>
      <x:c r="G696" s="10" t="str">
        <x:f>IF(F696="","",MIN(F696,E696))</x:f>
      </x:c>
      <x:c r="H696" s="10" t="str">
        <x:f>IF(F696="","",MAX(0,F696-E696))</x:f>
      </x:c>
      <x:c r="I696" s="24"/>
      <x:c r="J696" s="7"/>
      <x:c r="K696" s="8" t="str">
        <x:f>IF(A696="","",DATE(YEAR(A696),MONTH(A696),1))</x:f>
      </x:c>
    </x:row>
    <x:row r="697">
      <x:c r="A697" s="9"/>
      <x:c r="B697" s="7"/>
      <x:c r="C697" s="7" t="str">
        <x:f>IF(B697="","",XLOOKUP(B697,Employees!$A$4:$A$53,Employees!$B$4:$B$53,""))</x:f>
      </x:c>
      <x:c r="D697" s="7"/>
      <x:c r="E697" s="10" t="n">
        <x:v>8</x:v>
      </x:c>
      <x:c r="F697" s="10"/>
      <x:c r="G697" s="10" t="str">
        <x:f>IF(F697="","",MIN(F697,E697))</x:f>
      </x:c>
      <x:c r="H697" s="10" t="str">
        <x:f>IF(F697="","",MAX(0,F697-E697))</x:f>
      </x:c>
      <x:c r="I697" s="24"/>
      <x:c r="J697" s="7"/>
      <x:c r="K697" s="8" t="str">
        <x:f>IF(A697="","",DATE(YEAR(A697),MONTH(A697),1))</x:f>
      </x:c>
    </x:row>
    <x:row r="698">
      <x:c r="A698" s="9"/>
      <x:c r="B698" s="7"/>
      <x:c r="C698" s="7" t="str">
        <x:f>IF(B698="","",XLOOKUP(B698,Employees!$A$4:$A$53,Employees!$B$4:$B$53,""))</x:f>
      </x:c>
      <x:c r="D698" s="7"/>
      <x:c r="E698" s="10" t="n">
        <x:v>8</x:v>
      </x:c>
      <x:c r="F698" s="10"/>
      <x:c r="G698" s="10" t="str">
        <x:f>IF(F698="","",MIN(F698,E698))</x:f>
      </x:c>
      <x:c r="H698" s="10" t="str">
        <x:f>IF(F698="","",MAX(0,F698-E698))</x:f>
      </x:c>
      <x:c r="I698" s="24"/>
      <x:c r="J698" s="7"/>
      <x:c r="K698" s="8" t="str">
        <x:f>IF(A698="","",DATE(YEAR(A698),MONTH(A698),1))</x:f>
      </x:c>
    </x:row>
    <x:row r="699">
      <x:c r="A699" s="9"/>
      <x:c r="B699" s="7"/>
      <x:c r="C699" s="7" t="str">
        <x:f>IF(B699="","",XLOOKUP(B699,Employees!$A$4:$A$53,Employees!$B$4:$B$53,""))</x:f>
      </x:c>
      <x:c r="D699" s="7"/>
      <x:c r="E699" s="10" t="n">
        <x:v>8</x:v>
      </x:c>
      <x:c r="F699" s="10"/>
      <x:c r="G699" s="10" t="str">
        <x:f>IF(F699="","",MIN(F699,E699))</x:f>
      </x:c>
      <x:c r="H699" s="10" t="str">
        <x:f>IF(F699="","",MAX(0,F699-E699))</x:f>
      </x:c>
      <x:c r="I699" s="24"/>
      <x:c r="J699" s="7"/>
      <x:c r="K699" s="8" t="str">
        <x:f>IF(A699="","",DATE(YEAR(A699),MONTH(A699),1))</x:f>
      </x:c>
    </x:row>
    <x:row r="700">
      <x:c r="A700" s="9"/>
      <x:c r="B700" s="7"/>
      <x:c r="C700" s="7" t="str">
        <x:f>IF(B700="","",XLOOKUP(B700,Employees!$A$4:$A$53,Employees!$B$4:$B$53,""))</x:f>
      </x:c>
      <x:c r="D700" s="7"/>
      <x:c r="E700" s="10" t="n">
        <x:v>8</x:v>
      </x:c>
      <x:c r="F700" s="10"/>
      <x:c r="G700" s="10" t="str">
        <x:f>IF(F700="","",MIN(F700,E700))</x:f>
      </x:c>
      <x:c r="H700" s="10" t="str">
        <x:f>IF(F700="","",MAX(0,F700-E700))</x:f>
      </x:c>
      <x:c r="I700" s="24"/>
      <x:c r="J700" s="7"/>
      <x:c r="K700" s="8" t="str">
        <x:f>IF(A700="","",DATE(YEAR(A700),MONTH(A700),1))</x:f>
      </x:c>
    </x:row>
    <x:row r="701">
      <x:c r="A701" s="9"/>
      <x:c r="B701" s="7"/>
      <x:c r="C701" s="7" t="str">
        <x:f>IF(B701="","",XLOOKUP(B701,Employees!$A$4:$A$53,Employees!$B$4:$B$53,""))</x:f>
      </x:c>
      <x:c r="D701" s="7"/>
      <x:c r="E701" s="10" t="n">
        <x:v>8</x:v>
      </x:c>
      <x:c r="F701" s="10"/>
      <x:c r="G701" s="10" t="str">
        <x:f>IF(F701="","",MIN(F701,E701))</x:f>
      </x:c>
      <x:c r="H701" s="10" t="str">
        <x:f>IF(F701="","",MAX(0,F701-E701))</x:f>
      </x:c>
      <x:c r="I701" s="24"/>
      <x:c r="J701" s="7"/>
      <x:c r="K701" s="8" t="str">
        <x:f>IF(A701="","",DATE(YEAR(A701),MONTH(A701),1))</x:f>
      </x:c>
    </x:row>
    <x:row r="702">
      <x:c r="A702" s="9"/>
      <x:c r="B702" s="7"/>
      <x:c r="C702" s="7" t="str">
        <x:f>IF(B702="","",XLOOKUP(B702,Employees!$A$4:$A$53,Employees!$B$4:$B$53,""))</x:f>
      </x:c>
      <x:c r="D702" s="7"/>
      <x:c r="E702" s="10" t="n">
        <x:v>8</x:v>
      </x:c>
      <x:c r="F702" s="10"/>
      <x:c r="G702" s="10" t="str">
        <x:f>IF(F702="","",MIN(F702,E702))</x:f>
      </x:c>
      <x:c r="H702" s="10" t="str">
        <x:f>IF(F702="","",MAX(0,F702-E702))</x:f>
      </x:c>
      <x:c r="I702" s="24"/>
      <x:c r="J702" s="7"/>
      <x:c r="K702" s="8" t="str">
        <x:f>IF(A702="","",DATE(YEAR(A702),MONTH(A702),1))</x:f>
      </x:c>
    </x:row>
    <x:row r="703">
      <x:c r="A703" s="9"/>
      <x:c r="B703" s="7"/>
      <x:c r="C703" s="7" t="str">
        <x:f>IF(B703="","",XLOOKUP(B703,Employees!$A$4:$A$53,Employees!$B$4:$B$53,""))</x:f>
      </x:c>
      <x:c r="D703" s="7"/>
      <x:c r="E703" s="10" t="n">
        <x:v>8</x:v>
      </x:c>
      <x:c r="F703" s="10"/>
      <x:c r="G703" s="10" t="str">
        <x:f>IF(F703="","",MIN(F703,E703))</x:f>
      </x:c>
      <x:c r="H703" s="10" t="str">
        <x:f>IF(F703="","",MAX(0,F703-E703))</x:f>
      </x:c>
      <x:c r="I703" s="24"/>
      <x:c r="J703" s="7"/>
      <x:c r="K703" s="8" t="str">
        <x:f>IF(A703="","",DATE(YEAR(A703),MONTH(A703),1))</x:f>
      </x:c>
    </x:row>
    <x:row r="704">
      <x:c r="A704" s="9"/>
      <x:c r="B704" s="7"/>
      <x:c r="C704" s="7" t="str">
        <x:f>IF(B704="","",XLOOKUP(B704,Employees!$A$4:$A$53,Employees!$B$4:$B$53,""))</x:f>
      </x:c>
      <x:c r="D704" s="7"/>
      <x:c r="E704" s="10" t="n">
        <x:v>8</x:v>
      </x:c>
      <x:c r="F704" s="10"/>
      <x:c r="G704" s="10" t="str">
        <x:f>IF(F704="","",MIN(F704,E704))</x:f>
      </x:c>
      <x:c r="H704" s="10" t="str">
        <x:f>IF(F704="","",MAX(0,F704-E704))</x:f>
      </x:c>
      <x:c r="I704" s="24"/>
      <x:c r="J704" s="7"/>
      <x:c r="K704" s="8" t="str">
        <x:f>IF(A704="","",DATE(YEAR(A704),MONTH(A704),1))</x:f>
      </x:c>
    </x:row>
    <x:row r="705">
      <x:c r="A705" s="9"/>
      <x:c r="B705" s="7"/>
      <x:c r="C705" s="7" t="str">
        <x:f>IF(B705="","",XLOOKUP(B705,Employees!$A$4:$A$53,Employees!$B$4:$B$53,""))</x:f>
      </x:c>
      <x:c r="D705" s="7"/>
      <x:c r="E705" s="10" t="n">
        <x:v>8</x:v>
      </x:c>
      <x:c r="F705" s="10"/>
      <x:c r="G705" s="10" t="str">
        <x:f>IF(F705="","",MIN(F705,E705))</x:f>
      </x:c>
      <x:c r="H705" s="10" t="str">
        <x:f>IF(F705="","",MAX(0,F705-E705))</x:f>
      </x:c>
      <x:c r="I705" s="24"/>
      <x:c r="J705" s="7"/>
      <x:c r="K705" s="8" t="str">
        <x:f>IF(A705="","",DATE(YEAR(A705),MONTH(A705),1))</x:f>
      </x:c>
    </x:row>
    <x:row r="706">
      <x:c r="A706" s="9"/>
      <x:c r="B706" s="7"/>
      <x:c r="C706" s="7" t="str">
        <x:f>IF(B706="","",XLOOKUP(B706,Employees!$A$4:$A$53,Employees!$B$4:$B$53,""))</x:f>
      </x:c>
      <x:c r="D706" s="7"/>
      <x:c r="E706" s="10" t="n">
        <x:v>8</x:v>
      </x:c>
      <x:c r="F706" s="10"/>
      <x:c r="G706" s="10" t="str">
        <x:f>IF(F706="","",MIN(F706,E706))</x:f>
      </x:c>
      <x:c r="H706" s="10" t="str">
        <x:f>IF(F706="","",MAX(0,F706-E706))</x:f>
      </x:c>
      <x:c r="I706" s="24"/>
      <x:c r="J706" s="7"/>
      <x:c r="K706" s="8" t="str">
        <x:f>IF(A706="","",DATE(YEAR(A706),MONTH(A706),1))</x:f>
      </x:c>
    </x:row>
    <x:row r="707">
      <x:c r="A707" s="9"/>
      <x:c r="B707" s="7"/>
      <x:c r="C707" s="7" t="str">
        <x:f>IF(B707="","",XLOOKUP(B707,Employees!$A$4:$A$53,Employees!$B$4:$B$53,""))</x:f>
      </x:c>
      <x:c r="D707" s="7"/>
      <x:c r="E707" s="10" t="n">
        <x:v>8</x:v>
      </x:c>
      <x:c r="F707" s="10"/>
      <x:c r="G707" s="10" t="str">
        <x:f>IF(F707="","",MIN(F707,E707))</x:f>
      </x:c>
      <x:c r="H707" s="10" t="str">
        <x:f>IF(F707="","",MAX(0,F707-E707))</x:f>
      </x:c>
      <x:c r="I707" s="24"/>
      <x:c r="J707" s="7"/>
      <x:c r="K707" s="8" t="str">
        <x:f>IF(A707="","",DATE(YEAR(A707),MONTH(A707),1))</x:f>
      </x:c>
    </x:row>
    <x:row r="708">
      <x:c r="A708" s="9"/>
      <x:c r="B708" s="7"/>
      <x:c r="C708" s="7" t="str">
        <x:f>IF(B708="","",XLOOKUP(B708,Employees!$A$4:$A$53,Employees!$B$4:$B$53,""))</x:f>
      </x:c>
      <x:c r="D708" s="7"/>
      <x:c r="E708" s="10" t="n">
        <x:v>8</x:v>
      </x:c>
      <x:c r="F708" s="10"/>
      <x:c r="G708" s="10" t="str">
        <x:f>IF(F708="","",MIN(F708,E708))</x:f>
      </x:c>
      <x:c r="H708" s="10" t="str">
        <x:f>IF(F708="","",MAX(0,F708-E708))</x:f>
      </x:c>
      <x:c r="I708" s="24"/>
      <x:c r="J708" s="7"/>
      <x:c r="K708" s="8" t="str">
        <x:f>IF(A708="","",DATE(YEAR(A708),MONTH(A708),1))</x:f>
      </x:c>
    </x:row>
    <x:row r="709">
      <x:c r="A709" s="9"/>
      <x:c r="B709" s="7"/>
      <x:c r="C709" s="7" t="str">
        <x:f>IF(B709="","",XLOOKUP(B709,Employees!$A$4:$A$53,Employees!$B$4:$B$53,""))</x:f>
      </x:c>
      <x:c r="D709" s="7"/>
      <x:c r="E709" s="10" t="n">
        <x:v>8</x:v>
      </x:c>
      <x:c r="F709" s="10"/>
      <x:c r="G709" s="10" t="str">
        <x:f>IF(F709="","",MIN(F709,E709))</x:f>
      </x:c>
      <x:c r="H709" s="10" t="str">
        <x:f>IF(F709="","",MAX(0,F709-E709))</x:f>
      </x:c>
      <x:c r="I709" s="24"/>
      <x:c r="J709" s="7"/>
      <x:c r="K709" s="8" t="str">
        <x:f>IF(A709="","",DATE(YEAR(A709),MONTH(A709),1))</x:f>
      </x:c>
    </x:row>
    <x:row r="710">
      <x:c r="A710" s="9"/>
      <x:c r="B710" s="7"/>
      <x:c r="C710" s="7" t="str">
        <x:f>IF(B710="","",XLOOKUP(B710,Employees!$A$4:$A$53,Employees!$B$4:$B$53,""))</x:f>
      </x:c>
      <x:c r="D710" s="7"/>
      <x:c r="E710" s="10" t="n">
        <x:v>8</x:v>
      </x:c>
      <x:c r="F710" s="10"/>
      <x:c r="G710" s="10" t="str">
        <x:f>IF(F710="","",MIN(F710,E710))</x:f>
      </x:c>
      <x:c r="H710" s="10" t="str">
        <x:f>IF(F710="","",MAX(0,F710-E710))</x:f>
      </x:c>
      <x:c r="I710" s="24"/>
      <x:c r="J710" s="7"/>
      <x:c r="K710" s="8" t="str">
        <x:f>IF(A710="","",DATE(YEAR(A710),MONTH(A710),1))</x:f>
      </x:c>
    </x:row>
    <x:row r="711">
      <x:c r="A711" s="9"/>
      <x:c r="B711" s="7"/>
      <x:c r="C711" s="7" t="str">
        <x:f>IF(B711="","",XLOOKUP(B711,Employees!$A$4:$A$53,Employees!$B$4:$B$53,""))</x:f>
      </x:c>
      <x:c r="D711" s="7"/>
      <x:c r="E711" s="10" t="n">
        <x:v>8</x:v>
      </x:c>
      <x:c r="F711" s="10"/>
      <x:c r="G711" s="10" t="str">
        <x:f>IF(F711="","",MIN(F711,E711))</x:f>
      </x:c>
      <x:c r="H711" s="10" t="str">
        <x:f>IF(F711="","",MAX(0,F711-E711))</x:f>
      </x:c>
      <x:c r="I711" s="24"/>
      <x:c r="J711" s="7"/>
      <x:c r="K711" s="8" t="str">
        <x:f>IF(A711="","",DATE(YEAR(A711),MONTH(A711),1))</x:f>
      </x:c>
    </x:row>
    <x:row r="712">
      <x:c r="A712" s="9"/>
      <x:c r="B712" s="7"/>
      <x:c r="C712" s="7" t="str">
        <x:f>IF(B712="","",XLOOKUP(B712,Employees!$A$4:$A$53,Employees!$B$4:$B$53,""))</x:f>
      </x:c>
      <x:c r="D712" s="7"/>
      <x:c r="E712" s="10" t="n">
        <x:v>8</x:v>
      </x:c>
      <x:c r="F712" s="10"/>
      <x:c r="G712" s="10" t="str">
        <x:f>IF(F712="","",MIN(F712,E712))</x:f>
      </x:c>
      <x:c r="H712" s="10" t="str">
        <x:f>IF(F712="","",MAX(0,F712-E712))</x:f>
      </x:c>
      <x:c r="I712" s="24"/>
      <x:c r="J712" s="7"/>
      <x:c r="K712" s="8" t="str">
        <x:f>IF(A712="","",DATE(YEAR(A712),MONTH(A712),1))</x:f>
      </x:c>
    </x:row>
    <x:row r="713">
      <x:c r="A713" s="9"/>
      <x:c r="B713" s="7"/>
      <x:c r="C713" s="7" t="str">
        <x:f>IF(B713="","",XLOOKUP(B713,Employees!$A$4:$A$53,Employees!$B$4:$B$53,""))</x:f>
      </x:c>
      <x:c r="D713" s="7"/>
      <x:c r="E713" s="10" t="n">
        <x:v>8</x:v>
      </x:c>
      <x:c r="F713" s="10"/>
      <x:c r="G713" s="10" t="str">
        <x:f>IF(F713="","",MIN(F713,E713))</x:f>
      </x:c>
      <x:c r="H713" s="10" t="str">
        <x:f>IF(F713="","",MAX(0,F713-E713))</x:f>
      </x:c>
      <x:c r="I713" s="24"/>
      <x:c r="J713" s="7"/>
      <x:c r="K713" s="8" t="str">
        <x:f>IF(A713="","",DATE(YEAR(A713),MONTH(A713),1))</x:f>
      </x:c>
    </x:row>
    <x:row r="714">
      <x:c r="A714" s="9"/>
      <x:c r="B714" s="7"/>
      <x:c r="C714" s="7" t="str">
        <x:f>IF(B714="","",XLOOKUP(B714,Employees!$A$4:$A$53,Employees!$B$4:$B$53,""))</x:f>
      </x:c>
      <x:c r="D714" s="7"/>
      <x:c r="E714" s="10" t="n">
        <x:v>8</x:v>
      </x:c>
      <x:c r="F714" s="10"/>
      <x:c r="G714" s="10" t="str">
        <x:f>IF(F714="","",MIN(F714,E714))</x:f>
      </x:c>
      <x:c r="H714" s="10" t="str">
        <x:f>IF(F714="","",MAX(0,F714-E714))</x:f>
      </x:c>
      <x:c r="I714" s="24"/>
      <x:c r="J714" s="7"/>
      <x:c r="K714" s="8" t="str">
        <x:f>IF(A714="","",DATE(YEAR(A714),MONTH(A714),1))</x:f>
      </x:c>
    </x:row>
    <x:row r="715">
      <x:c r="A715" s="9"/>
      <x:c r="B715" s="7"/>
      <x:c r="C715" s="7" t="str">
        <x:f>IF(B715="","",XLOOKUP(B715,Employees!$A$4:$A$53,Employees!$B$4:$B$53,""))</x:f>
      </x:c>
      <x:c r="D715" s="7"/>
      <x:c r="E715" s="10" t="n">
        <x:v>8</x:v>
      </x:c>
      <x:c r="F715" s="10"/>
      <x:c r="G715" s="10" t="str">
        <x:f>IF(F715="","",MIN(F715,E715))</x:f>
      </x:c>
      <x:c r="H715" s="10" t="str">
        <x:f>IF(F715="","",MAX(0,F715-E715))</x:f>
      </x:c>
      <x:c r="I715" s="24"/>
      <x:c r="J715" s="7"/>
      <x:c r="K715" s="8" t="str">
        <x:f>IF(A715="","",DATE(YEAR(A715),MONTH(A715),1))</x:f>
      </x:c>
    </x:row>
    <x:row r="716">
      <x:c r="A716" s="9"/>
      <x:c r="B716" s="7"/>
      <x:c r="C716" s="7" t="str">
        <x:f>IF(B716="","",XLOOKUP(B716,Employees!$A$4:$A$53,Employees!$B$4:$B$53,""))</x:f>
      </x:c>
      <x:c r="D716" s="7"/>
      <x:c r="E716" s="10" t="n">
        <x:v>8</x:v>
      </x:c>
      <x:c r="F716" s="10"/>
      <x:c r="G716" s="10" t="str">
        <x:f>IF(F716="","",MIN(F716,E716))</x:f>
      </x:c>
      <x:c r="H716" s="10" t="str">
        <x:f>IF(F716="","",MAX(0,F716-E716))</x:f>
      </x:c>
      <x:c r="I716" s="24"/>
      <x:c r="J716" s="7"/>
      <x:c r="K716" s="8" t="str">
        <x:f>IF(A716="","",DATE(YEAR(A716),MONTH(A716),1))</x:f>
      </x:c>
    </x:row>
    <x:row r="717">
      <x:c r="A717" s="9"/>
      <x:c r="B717" s="7"/>
      <x:c r="C717" s="7" t="str">
        <x:f>IF(B717="","",XLOOKUP(B717,Employees!$A$4:$A$53,Employees!$B$4:$B$53,""))</x:f>
      </x:c>
      <x:c r="D717" s="7"/>
      <x:c r="E717" s="10" t="n">
        <x:v>8</x:v>
      </x:c>
      <x:c r="F717" s="10"/>
      <x:c r="G717" s="10" t="str">
        <x:f>IF(F717="","",MIN(F717,E717))</x:f>
      </x:c>
      <x:c r="H717" s="10" t="str">
        <x:f>IF(F717="","",MAX(0,F717-E717))</x:f>
      </x:c>
      <x:c r="I717" s="24"/>
      <x:c r="J717" s="7"/>
      <x:c r="K717" s="8" t="str">
        <x:f>IF(A717="","",DATE(YEAR(A717),MONTH(A717),1))</x:f>
      </x:c>
    </x:row>
    <x:row r="718">
      <x:c r="A718" s="9"/>
      <x:c r="B718" s="7"/>
      <x:c r="C718" s="7" t="str">
        <x:f>IF(B718="","",XLOOKUP(B718,Employees!$A$4:$A$53,Employees!$B$4:$B$53,""))</x:f>
      </x:c>
      <x:c r="D718" s="7"/>
      <x:c r="E718" s="10" t="n">
        <x:v>8</x:v>
      </x:c>
      <x:c r="F718" s="10"/>
      <x:c r="G718" s="10" t="str">
        <x:f>IF(F718="","",MIN(F718,E718))</x:f>
      </x:c>
      <x:c r="H718" s="10" t="str">
        <x:f>IF(F718="","",MAX(0,F718-E718))</x:f>
      </x:c>
      <x:c r="I718" s="24"/>
      <x:c r="J718" s="7"/>
      <x:c r="K718" s="8" t="str">
        <x:f>IF(A718="","",DATE(YEAR(A718),MONTH(A718),1))</x:f>
      </x:c>
    </x:row>
    <x:row r="719">
      <x:c r="A719" s="9"/>
      <x:c r="B719" s="7"/>
      <x:c r="C719" s="7" t="str">
        <x:f>IF(B719="","",XLOOKUP(B719,Employees!$A$4:$A$53,Employees!$B$4:$B$53,""))</x:f>
      </x:c>
      <x:c r="D719" s="7"/>
      <x:c r="E719" s="10" t="n">
        <x:v>8</x:v>
      </x:c>
      <x:c r="F719" s="10"/>
      <x:c r="G719" s="10" t="str">
        <x:f>IF(F719="","",MIN(F719,E719))</x:f>
      </x:c>
      <x:c r="H719" s="10" t="str">
        <x:f>IF(F719="","",MAX(0,F719-E719))</x:f>
      </x:c>
      <x:c r="I719" s="24"/>
      <x:c r="J719" s="7"/>
      <x:c r="K719" s="8" t="str">
        <x:f>IF(A719="","",DATE(YEAR(A719),MONTH(A719),1))</x:f>
      </x:c>
    </x:row>
    <x:row r="720">
      <x:c r="A720" s="9"/>
      <x:c r="B720" s="7"/>
      <x:c r="C720" s="7" t="str">
        <x:f>IF(B720="","",XLOOKUP(B720,Employees!$A$4:$A$53,Employees!$B$4:$B$53,""))</x:f>
      </x:c>
      <x:c r="D720" s="7"/>
      <x:c r="E720" s="10" t="n">
        <x:v>8</x:v>
      </x:c>
      <x:c r="F720" s="10"/>
      <x:c r="G720" s="10" t="str">
        <x:f>IF(F720="","",MIN(F720,E720))</x:f>
      </x:c>
      <x:c r="H720" s="10" t="str">
        <x:f>IF(F720="","",MAX(0,F720-E720))</x:f>
      </x:c>
      <x:c r="I720" s="24"/>
      <x:c r="J720" s="7"/>
      <x:c r="K720" s="8" t="str">
        <x:f>IF(A720="","",DATE(YEAR(A720),MONTH(A720),1))</x:f>
      </x:c>
    </x:row>
    <x:row r="721">
      <x:c r="A721" s="9"/>
      <x:c r="B721" s="7"/>
      <x:c r="C721" s="7" t="str">
        <x:f>IF(B721="","",XLOOKUP(B721,Employees!$A$4:$A$53,Employees!$B$4:$B$53,""))</x:f>
      </x:c>
      <x:c r="D721" s="7"/>
      <x:c r="E721" s="10" t="n">
        <x:v>8</x:v>
      </x:c>
      <x:c r="F721" s="10"/>
      <x:c r="G721" s="10" t="str">
        <x:f>IF(F721="","",MIN(F721,E721))</x:f>
      </x:c>
      <x:c r="H721" s="10" t="str">
        <x:f>IF(F721="","",MAX(0,F721-E721))</x:f>
      </x:c>
      <x:c r="I721" s="24"/>
      <x:c r="J721" s="7"/>
      <x:c r="K721" s="8" t="str">
        <x:f>IF(A721="","",DATE(YEAR(A721),MONTH(A721),1))</x:f>
      </x:c>
    </x:row>
    <x:row r="722">
      <x:c r="A722" s="9"/>
      <x:c r="B722" s="7"/>
      <x:c r="C722" s="7" t="str">
        <x:f>IF(B722="","",XLOOKUP(B722,Employees!$A$4:$A$53,Employees!$B$4:$B$53,""))</x:f>
      </x:c>
      <x:c r="D722" s="7"/>
      <x:c r="E722" s="10" t="n">
        <x:v>8</x:v>
      </x:c>
      <x:c r="F722" s="10"/>
      <x:c r="G722" s="10" t="str">
        <x:f>IF(F722="","",MIN(F722,E722))</x:f>
      </x:c>
      <x:c r="H722" s="10" t="str">
        <x:f>IF(F722="","",MAX(0,F722-E722))</x:f>
      </x:c>
      <x:c r="I722" s="24"/>
      <x:c r="J722" s="7"/>
      <x:c r="K722" s="8" t="str">
        <x:f>IF(A722="","",DATE(YEAR(A722),MONTH(A722),1))</x:f>
      </x:c>
    </x:row>
    <x:row r="723">
      <x:c r="A723" s="9"/>
      <x:c r="B723" s="7"/>
      <x:c r="C723" s="7" t="str">
        <x:f>IF(B723="","",XLOOKUP(B723,Employees!$A$4:$A$53,Employees!$B$4:$B$53,""))</x:f>
      </x:c>
      <x:c r="D723" s="7"/>
      <x:c r="E723" s="10" t="n">
        <x:v>8</x:v>
      </x:c>
      <x:c r="F723" s="10"/>
      <x:c r="G723" s="10" t="str">
        <x:f>IF(F723="","",MIN(F723,E723))</x:f>
      </x:c>
      <x:c r="H723" s="10" t="str">
        <x:f>IF(F723="","",MAX(0,F723-E723))</x:f>
      </x:c>
      <x:c r="I723" s="24"/>
      <x:c r="J723" s="7"/>
      <x:c r="K723" s="8" t="str">
        <x:f>IF(A723="","",DATE(YEAR(A723),MONTH(A723),1))</x:f>
      </x:c>
    </x:row>
    <x:row r="724">
      <x:c r="A724" s="9"/>
      <x:c r="B724" s="7"/>
      <x:c r="C724" s="7" t="str">
        <x:f>IF(B724="","",XLOOKUP(B724,Employees!$A$4:$A$53,Employees!$B$4:$B$53,""))</x:f>
      </x:c>
      <x:c r="D724" s="7"/>
      <x:c r="E724" s="10" t="n">
        <x:v>8</x:v>
      </x:c>
      <x:c r="F724" s="10"/>
      <x:c r="G724" s="10" t="str">
        <x:f>IF(F724="","",MIN(F724,E724))</x:f>
      </x:c>
      <x:c r="H724" s="10" t="str">
        <x:f>IF(F724="","",MAX(0,F724-E724))</x:f>
      </x:c>
      <x:c r="I724" s="24"/>
      <x:c r="J724" s="7"/>
      <x:c r="K724" s="8" t="str">
        <x:f>IF(A724="","",DATE(YEAR(A724),MONTH(A724),1))</x:f>
      </x:c>
    </x:row>
    <x:row r="725">
      <x:c r="A725" s="9"/>
      <x:c r="B725" s="7"/>
      <x:c r="C725" s="7" t="str">
        <x:f>IF(B725="","",XLOOKUP(B725,Employees!$A$4:$A$53,Employees!$B$4:$B$53,""))</x:f>
      </x:c>
      <x:c r="D725" s="7"/>
      <x:c r="E725" s="10" t="n">
        <x:v>8</x:v>
      </x:c>
      <x:c r="F725" s="10"/>
      <x:c r="G725" s="10" t="str">
        <x:f>IF(F725="","",MIN(F725,E725))</x:f>
      </x:c>
      <x:c r="H725" s="10" t="str">
        <x:f>IF(F725="","",MAX(0,F725-E725))</x:f>
      </x:c>
      <x:c r="I725" s="24"/>
      <x:c r="J725" s="7"/>
      <x:c r="K725" s="8" t="str">
        <x:f>IF(A725="","",DATE(YEAR(A725),MONTH(A725),1))</x:f>
      </x:c>
    </x:row>
    <x:row r="726">
      <x:c r="A726" s="9"/>
      <x:c r="B726" s="7"/>
      <x:c r="C726" s="7" t="str">
        <x:f>IF(B726="","",XLOOKUP(B726,Employees!$A$4:$A$53,Employees!$B$4:$B$53,""))</x:f>
      </x:c>
      <x:c r="D726" s="7"/>
      <x:c r="E726" s="10" t="n">
        <x:v>8</x:v>
      </x:c>
      <x:c r="F726" s="10"/>
      <x:c r="G726" s="10" t="str">
        <x:f>IF(F726="","",MIN(F726,E726))</x:f>
      </x:c>
      <x:c r="H726" s="10" t="str">
        <x:f>IF(F726="","",MAX(0,F726-E726))</x:f>
      </x:c>
      <x:c r="I726" s="24"/>
      <x:c r="J726" s="7"/>
      <x:c r="K726" s="8" t="str">
        <x:f>IF(A726="","",DATE(YEAR(A726),MONTH(A726),1))</x:f>
      </x:c>
    </x:row>
    <x:row r="727">
      <x:c r="A727" s="9"/>
      <x:c r="B727" s="7"/>
      <x:c r="C727" s="7" t="str">
        <x:f>IF(B727="","",XLOOKUP(B727,Employees!$A$4:$A$53,Employees!$B$4:$B$53,""))</x:f>
      </x:c>
      <x:c r="D727" s="7"/>
      <x:c r="E727" s="10" t="n">
        <x:v>8</x:v>
      </x:c>
      <x:c r="F727" s="10"/>
      <x:c r="G727" s="10" t="str">
        <x:f>IF(F727="","",MIN(F727,E727))</x:f>
      </x:c>
      <x:c r="H727" s="10" t="str">
        <x:f>IF(F727="","",MAX(0,F727-E727))</x:f>
      </x:c>
      <x:c r="I727" s="24"/>
      <x:c r="J727" s="7"/>
      <x:c r="K727" s="8" t="str">
        <x:f>IF(A727="","",DATE(YEAR(A727),MONTH(A727),1))</x:f>
      </x:c>
    </x:row>
    <x:row r="728">
      <x:c r="A728" s="9"/>
      <x:c r="B728" s="7"/>
      <x:c r="C728" s="7" t="str">
        <x:f>IF(B728="","",XLOOKUP(B728,Employees!$A$4:$A$53,Employees!$B$4:$B$53,""))</x:f>
      </x:c>
      <x:c r="D728" s="7"/>
      <x:c r="E728" s="10" t="n">
        <x:v>8</x:v>
      </x:c>
      <x:c r="F728" s="10"/>
      <x:c r="G728" s="10" t="str">
        <x:f>IF(F728="","",MIN(F728,E728))</x:f>
      </x:c>
      <x:c r="H728" s="10" t="str">
        <x:f>IF(F728="","",MAX(0,F728-E728))</x:f>
      </x:c>
      <x:c r="I728" s="24"/>
      <x:c r="J728" s="7"/>
      <x:c r="K728" s="8" t="str">
        <x:f>IF(A728="","",DATE(YEAR(A728),MONTH(A728),1))</x:f>
      </x:c>
    </x:row>
    <x:row r="729">
      <x:c r="A729" s="9"/>
      <x:c r="B729" s="7"/>
      <x:c r="C729" s="7" t="str">
        <x:f>IF(B729="","",XLOOKUP(B729,Employees!$A$4:$A$53,Employees!$B$4:$B$53,""))</x:f>
      </x:c>
      <x:c r="D729" s="7"/>
      <x:c r="E729" s="10" t="n">
        <x:v>8</x:v>
      </x:c>
      <x:c r="F729" s="10"/>
      <x:c r="G729" s="10" t="str">
        <x:f>IF(F729="","",MIN(F729,E729))</x:f>
      </x:c>
      <x:c r="H729" s="10" t="str">
        <x:f>IF(F729="","",MAX(0,F729-E729))</x:f>
      </x:c>
      <x:c r="I729" s="24"/>
      <x:c r="J729" s="7"/>
      <x:c r="K729" s="8" t="str">
        <x:f>IF(A729="","",DATE(YEAR(A729),MONTH(A729),1))</x:f>
      </x:c>
    </x:row>
    <x:row r="730">
      <x:c r="A730" s="9"/>
      <x:c r="B730" s="7"/>
      <x:c r="C730" s="7" t="str">
        <x:f>IF(B730="","",XLOOKUP(B730,Employees!$A$4:$A$53,Employees!$B$4:$B$53,""))</x:f>
      </x:c>
      <x:c r="D730" s="7"/>
      <x:c r="E730" s="10" t="n">
        <x:v>8</x:v>
      </x:c>
      <x:c r="F730" s="10"/>
      <x:c r="G730" s="10" t="str">
        <x:f>IF(F730="","",MIN(F730,E730))</x:f>
      </x:c>
      <x:c r="H730" s="10" t="str">
        <x:f>IF(F730="","",MAX(0,F730-E730))</x:f>
      </x:c>
      <x:c r="I730" s="24"/>
      <x:c r="J730" s="7"/>
      <x:c r="K730" s="8" t="str">
        <x:f>IF(A730="","",DATE(YEAR(A730),MONTH(A730),1))</x:f>
      </x:c>
    </x:row>
    <x:row r="731">
      <x:c r="A731" s="9"/>
      <x:c r="B731" s="7"/>
      <x:c r="C731" s="7" t="str">
        <x:f>IF(B731="","",XLOOKUP(B731,Employees!$A$4:$A$53,Employees!$B$4:$B$53,""))</x:f>
      </x:c>
      <x:c r="D731" s="7"/>
      <x:c r="E731" s="10" t="n">
        <x:v>8</x:v>
      </x:c>
      <x:c r="F731" s="10"/>
      <x:c r="G731" s="10" t="str">
        <x:f>IF(F731="","",MIN(F731,E731))</x:f>
      </x:c>
      <x:c r="H731" s="10" t="str">
        <x:f>IF(F731="","",MAX(0,F731-E731))</x:f>
      </x:c>
      <x:c r="I731" s="24"/>
      <x:c r="J731" s="7"/>
      <x:c r="K731" s="8" t="str">
        <x:f>IF(A731="","",DATE(YEAR(A731),MONTH(A731),1))</x:f>
      </x:c>
    </x:row>
    <x:row r="732">
      <x:c r="A732" s="9"/>
      <x:c r="B732" s="7"/>
      <x:c r="C732" s="7" t="str">
        <x:f>IF(B732="","",XLOOKUP(B732,Employees!$A$4:$A$53,Employees!$B$4:$B$53,""))</x:f>
      </x:c>
      <x:c r="D732" s="7"/>
      <x:c r="E732" s="10" t="n">
        <x:v>8</x:v>
      </x:c>
      <x:c r="F732" s="10"/>
      <x:c r="G732" s="10" t="str">
        <x:f>IF(F732="","",MIN(F732,E732))</x:f>
      </x:c>
      <x:c r="H732" s="10" t="str">
        <x:f>IF(F732="","",MAX(0,F732-E732))</x:f>
      </x:c>
      <x:c r="I732" s="24"/>
      <x:c r="J732" s="7"/>
      <x:c r="K732" s="8" t="str">
        <x:f>IF(A732="","",DATE(YEAR(A732),MONTH(A732),1))</x:f>
      </x:c>
    </x:row>
    <x:row r="733">
      <x:c r="A733" s="9"/>
      <x:c r="B733" s="7"/>
      <x:c r="C733" s="7" t="str">
        <x:f>IF(B733="","",XLOOKUP(B733,Employees!$A$4:$A$53,Employees!$B$4:$B$53,""))</x:f>
      </x:c>
      <x:c r="D733" s="7"/>
      <x:c r="E733" s="10" t="n">
        <x:v>8</x:v>
      </x:c>
      <x:c r="F733" s="10"/>
      <x:c r="G733" s="10" t="str">
        <x:f>IF(F733="","",MIN(F733,E733))</x:f>
      </x:c>
      <x:c r="H733" s="10" t="str">
        <x:f>IF(F733="","",MAX(0,F733-E733))</x:f>
      </x:c>
      <x:c r="I733" s="24"/>
      <x:c r="J733" s="7"/>
      <x:c r="K733" s="8" t="str">
        <x:f>IF(A733="","",DATE(YEAR(A733),MONTH(A733),1))</x:f>
      </x:c>
    </x:row>
    <x:row r="734">
      <x:c r="A734" s="9"/>
      <x:c r="B734" s="7"/>
      <x:c r="C734" s="7" t="str">
        <x:f>IF(B734="","",XLOOKUP(B734,Employees!$A$4:$A$53,Employees!$B$4:$B$53,""))</x:f>
      </x:c>
      <x:c r="D734" s="7"/>
      <x:c r="E734" s="10" t="n">
        <x:v>8</x:v>
      </x:c>
      <x:c r="F734" s="10"/>
      <x:c r="G734" s="10" t="str">
        <x:f>IF(F734="","",MIN(F734,E734))</x:f>
      </x:c>
      <x:c r="H734" s="10" t="str">
        <x:f>IF(F734="","",MAX(0,F734-E734))</x:f>
      </x:c>
      <x:c r="I734" s="24"/>
      <x:c r="J734" s="7"/>
      <x:c r="K734" s="8" t="str">
        <x:f>IF(A734="","",DATE(YEAR(A734),MONTH(A734),1))</x:f>
      </x:c>
    </x:row>
    <x:row r="735">
      <x:c r="A735" s="9"/>
      <x:c r="B735" s="7"/>
      <x:c r="C735" s="7" t="str">
        <x:f>IF(B735="","",XLOOKUP(B735,Employees!$A$4:$A$53,Employees!$B$4:$B$53,""))</x:f>
      </x:c>
      <x:c r="D735" s="7"/>
      <x:c r="E735" s="10" t="n">
        <x:v>8</x:v>
      </x:c>
      <x:c r="F735" s="10"/>
      <x:c r="G735" s="10" t="str">
        <x:f>IF(F735="","",MIN(F735,E735))</x:f>
      </x:c>
      <x:c r="H735" s="10" t="str">
        <x:f>IF(F735="","",MAX(0,F735-E735))</x:f>
      </x:c>
      <x:c r="I735" s="24"/>
      <x:c r="J735" s="7"/>
      <x:c r="K735" s="8" t="str">
        <x:f>IF(A735="","",DATE(YEAR(A735),MONTH(A735),1))</x:f>
      </x:c>
    </x:row>
    <x:row r="736">
      <x:c r="A736" s="9"/>
      <x:c r="B736" s="7"/>
      <x:c r="C736" s="7" t="str">
        <x:f>IF(B736="","",XLOOKUP(B736,Employees!$A$4:$A$53,Employees!$B$4:$B$53,""))</x:f>
      </x:c>
      <x:c r="D736" s="7"/>
      <x:c r="E736" s="10" t="n">
        <x:v>8</x:v>
      </x:c>
      <x:c r="F736" s="10"/>
      <x:c r="G736" s="10" t="str">
        <x:f>IF(F736="","",MIN(F736,E736))</x:f>
      </x:c>
      <x:c r="H736" s="10" t="str">
        <x:f>IF(F736="","",MAX(0,F736-E736))</x:f>
      </x:c>
      <x:c r="I736" s="24"/>
      <x:c r="J736" s="7"/>
      <x:c r="K736" s="8" t="str">
        <x:f>IF(A736="","",DATE(YEAR(A736),MONTH(A736),1))</x:f>
      </x:c>
    </x:row>
    <x:row r="737">
      <x:c r="A737" s="9"/>
      <x:c r="B737" s="7"/>
      <x:c r="C737" s="7" t="str">
        <x:f>IF(B737="","",XLOOKUP(B737,Employees!$A$4:$A$53,Employees!$B$4:$B$53,""))</x:f>
      </x:c>
      <x:c r="D737" s="7"/>
      <x:c r="E737" s="10" t="n">
        <x:v>8</x:v>
      </x:c>
      <x:c r="F737" s="10"/>
      <x:c r="G737" s="10" t="str">
        <x:f>IF(F737="","",MIN(F737,E737))</x:f>
      </x:c>
      <x:c r="H737" s="10" t="str">
        <x:f>IF(F737="","",MAX(0,F737-E737))</x:f>
      </x:c>
      <x:c r="I737" s="24"/>
      <x:c r="J737" s="7"/>
      <x:c r="K737" s="8" t="str">
        <x:f>IF(A737="","",DATE(YEAR(A737),MONTH(A737),1))</x:f>
      </x:c>
    </x:row>
    <x:row r="738">
      <x:c r="A738" s="9"/>
      <x:c r="B738" s="7"/>
      <x:c r="C738" s="7" t="str">
        <x:f>IF(B738="","",XLOOKUP(B738,Employees!$A$4:$A$53,Employees!$B$4:$B$53,""))</x:f>
      </x:c>
      <x:c r="D738" s="7"/>
      <x:c r="E738" s="10" t="n">
        <x:v>8</x:v>
      </x:c>
      <x:c r="F738" s="10"/>
      <x:c r="G738" s="10" t="str">
        <x:f>IF(F738="","",MIN(F738,E738))</x:f>
      </x:c>
      <x:c r="H738" s="10" t="str">
        <x:f>IF(F738="","",MAX(0,F738-E738))</x:f>
      </x:c>
      <x:c r="I738" s="24"/>
      <x:c r="J738" s="7"/>
      <x:c r="K738" s="8" t="str">
        <x:f>IF(A738="","",DATE(YEAR(A738),MONTH(A738),1))</x:f>
      </x:c>
    </x:row>
    <x:row r="739">
      <x:c r="A739" s="9"/>
      <x:c r="B739" s="7"/>
      <x:c r="C739" s="7" t="str">
        <x:f>IF(B739="","",XLOOKUP(B739,Employees!$A$4:$A$53,Employees!$B$4:$B$53,""))</x:f>
      </x:c>
      <x:c r="D739" s="7"/>
      <x:c r="E739" s="10" t="n">
        <x:v>8</x:v>
      </x:c>
      <x:c r="F739" s="10"/>
      <x:c r="G739" s="10" t="str">
        <x:f>IF(F739="","",MIN(F739,E739))</x:f>
      </x:c>
      <x:c r="H739" s="10" t="str">
        <x:f>IF(F739="","",MAX(0,F739-E739))</x:f>
      </x:c>
      <x:c r="I739" s="24"/>
      <x:c r="J739" s="7"/>
      <x:c r="K739" s="8" t="str">
        <x:f>IF(A739="","",DATE(YEAR(A739),MONTH(A739),1))</x:f>
      </x:c>
    </x:row>
    <x:row r="740">
      <x:c r="A740" s="9"/>
      <x:c r="B740" s="7"/>
      <x:c r="C740" s="7" t="str">
        <x:f>IF(B740="","",XLOOKUP(B740,Employees!$A$4:$A$53,Employees!$B$4:$B$53,""))</x:f>
      </x:c>
      <x:c r="D740" s="7"/>
      <x:c r="E740" s="10" t="n">
        <x:v>8</x:v>
      </x:c>
      <x:c r="F740" s="10"/>
      <x:c r="G740" s="10" t="str">
        <x:f>IF(F740="","",MIN(F740,E740))</x:f>
      </x:c>
      <x:c r="H740" s="10" t="str">
        <x:f>IF(F740="","",MAX(0,F740-E740))</x:f>
      </x:c>
      <x:c r="I740" s="24"/>
      <x:c r="J740" s="7"/>
      <x:c r="K740" s="8" t="str">
        <x:f>IF(A740="","",DATE(YEAR(A740),MONTH(A740),1))</x:f>
      </x:c>
    </x:row>
    <x:row r="741">
      <x:c r="A741" s="9"/>
      <x:c r="B741" s="7"/>
      <x:c r="C741" s="7" t="str">
        <x:f>IF(B741="","",XLOOKUP(B741,Employees!$A$4:$A$53,Employees!$B$4:$B$53,""))</x:f>
      </x:c>
      <x:c r="D741" s="7"/>
      <x:c r="E741" s="10" t="n">
        <x:v>8</x:v>
      </x:c>
      <x:c r="F741" s="10"/>
      <x:c r="G741" s="10" t="str">
        <x:f>IF(F741="","",MIN(F741,E741))</x:f>
      </x:c>
      <x:c r="H741" s="10" t="str">
        <x:f>IF(F741="","",MAX(0,F741-E741))</x:f>
      </x:c>
      <x:c r="I741" s="24"/>
      <x:c r="J741" s="7"/>
      <x:c r="K741" s="8" t="str">
        <x:f>IF(A741="","",DATE(YEAR(A741),MONTH(A741),1))</x:f>
      </x:c>
    </x:row>
    <x:row r="742">
      <x:c r="A742" s="9"/>
      <x:c r="B742" s="7"/>
      <x:c r="C742" s="7" t="str">
        <x:f>IF(B742="","",XLOOKUP(B742,Employees!$A$4:$A$53,Employees!$B$4:$B$53,""))</x:f>
      </x:c>
      <x:c r="D742" s="7"/>
      <x:c r="E742" s="10" t="n">
        <x:v>8</x:v>
      </x:c>
      <x:c r="F742" s="10"/>
      <x:c r="G742" s="10" t="str">
        <x:f>IF(F742="","",MIN(F742,E742))</x:f>
      </x:c>
      <x:c r="H742" s="10" t="str">
        <x:f>IF(F742="","",MAX(0,F742-E742))</x:f>
      </x:c>
      <x:c r="I742" s="24"/>
      <x:c r="J742" s="7"/>
      <x:c r="K742" s="8" t="str">
        <x:f>IF(A742="","",DATE(YEAR(A742),MONTH(A742),1))</x:f>
      </x:c>
    </x:row>
    <x:row r="743">
      <x:c r="A743" s="9"/>
      <x:c r="B743" s="7"/>
      <x:c r="C743" s="7" t="str">
        <x:f>IF(B743="","",XLOOKUP(B743,Employees!$A$4:$A$53,Employees!$B$4:$B$53,""))</x:f>
      </x:c>
      <x:c r="D743" s="7"/>
      <x:c r="E743" s="10" t="n">
        <x:v>8</x:v>
      </x:c>
      <x:c r="F743" s="10"/>
      <x:c r="G743" s="10" t="str">
        <x:f>IF(F743="","",MIN(F743,E743))</x:f>
      </x:c>
      <x:c r="H743" s="10" t="str">
        <x:f>IF(F743="","",MAX(0,F743-E743))</x:f>
      </x:c>
      <x:c r="I743" s="24"/>
      <x:c r="J743" s="7"/>
      <x:c r="K743" s="8" t="str">
        <x:f>IF(A743="","",DATE(YEAR(A743),MONTH(A743),1))</x:f>
      </x:c>
    </x:row>
    <x:row r="744">
      <x:c r="A744" s="9"/>
      <x:c r="B744" s="7"/>
      <x:c r="C744" s="7" t="str">
        <x:f>IF(B744="","",XLOOKUP(B744,Employees!$A$4:$A$53,Employees!$B$4:$B$53,""))</x:f>
      </x:c>
      <x:c r="D744" s="7"/>
      <x:c r="E744" s="10" t="n">
        <x:v>8</x:v>
      </x:c>
      <x:c r="F744" s="10"/>
      <x:c r="G744" s="10" t="str">
        <x:f>IF(F744="","",MIN(F744,E744))</x:f>
      </x:c>
      <x:c r="H744" s="10" t="str">
        <x:f>IF(F744="","",MAX(0,F744-E744))</x:f>
      </x:c>
      <x:c r="I744" s="24"/>
      <x:c r="J744" s="7"/>
      <x:c r="K744" s="8" t="str">
        <x:f>IF(A744="","",DATE(YEAR(A744),MONTH(A744),1))</x:f>
      </x:c>
    </x:row>
    <x:row r="745">
      <x:c r="A745" s="9"/>
      <x:c r="B745" s="7"/>
      <x:c r="C745" s="7" t="str">
        <x:f>IF(B745="","",XLOOKUP(B745,Employees!$A$4:$A$53,Employees!$B$4:$B$53,""))</x:f>
      </x:c>
      <x:c r="D745" s="7"/>
      <x:c r="E745" s="10" t="n">
        <x:v>8</x:v>
      </x:c>
      <x:c r="F745" s="10"/>
      <x:c r="G745" s="10" t="str">
        <x:f>IF(F745="","",MIN(F745,E745))</x:f>
      </x:c>
      <x:c r="H745" s="10" t="str">
        <x:f>IF(F745="","",MAX(0,F745-E745))</x:f>
      </x:c>
      <x:c r="I745" s="24"/>
      <x:c r="J745" s="7"/>
      <x:c r="K745" s="8" t="str">
        <x:f>IF(A745="","",DATE(YEAR(A745),MONTH(A745),1))</x:f>
      </x:c>
    </x:row>
    <x:row r="746">
      <x:c r="A746" s="9"/>
      <x:c r="B746" s="7"/>
      <x:c r="C746" s="7" t="str">
        <x:f>IF(B746="","",XLOOKUP(B746,Employees!$A$4:$A$53,Employees!$B$4:$B$53,""))</x:f>
      </x:c>
      <x:c r="D746" s="7"/>
      <x:c r="E746" s="10" t="n">
        <x:v>8</x:v>
      </x:c>
      <x:c r="F746" s="10"/>
      <x:c r="G746" s="10" t="str">
        <x:f>IF(F746="","",MIN(F746,E746))</x:f>
      </x:c>
      <x:c r="H746" s="10" t="str">
        <x:f>IF(F746="","",MAX(0,F746-E746))</x:f>
      </x:c>
      <x:c r="I746" s="24"/>
      <x:c r="J746" s="7"/>
      <x:c r="K746" s="8" t="str">
        <x:f>IF(A746="","",DATE(YEAR(A746),MONTH(A746),1))</x:f>
      </x:c>
    </x:row>
    <x:row r="747">
      <x:c r="A747" s="9"/>
      <x:c r="B747" s="7"/>
      <x:c r="C747" s="7" t="str">
        <x:f>IF(B747="","",XLOOKUP(B747,Employees!$A$4:$A$53,Employees!$B$4:$B$53,""))</x:f>
      </x:c>
      <x:c r="D747" s="7"/>
      <x:c r="E747" s="10" t="n">
        <x:v>8</x:v>
      </x:c>
      <x:c r="F747" s="10"/>
      <x:c r="G747" s="10" t="str">
        <x:f>IF(F747="","",MIN(F747,E747))</x:f>
      </x:c>
      <x:c r="H747" s="10" t="str">
        <x:f>IF(F747="","",MAX(0,F747-E747))</x:f>
      </x:c>
      <x:c r="I747" s="24"/>
      <x:c r="J747" s="7"/>
      <x:c r="K747" s="8" t="str">
        <x:f>IF(A747="","",DATE(YEAR(A747),MONTH(A747),1))</x:f>
      </x:c>
    </x:row>
    <x:row r="748">
      <x:c r="A748" s="9"/>
      <x:c r="B748" s="7"/>
      <x:c r="C748" s="7" t="str">
        <x:f>IF(B748="","",XLOOKUP(B748,Employees!$A$4:$A$53,Employees!$B$4:$B$53,""))</x:f>
      </x:c>
      <x:c r="D748" s="7"/>
      <x:c r="E748" s="10" t="n">
        <x:v>8</x:v>
      </x:c>
      <x:c r="F748" s="10"/>
      <x:c r="G748" s="10" t="str">
        <x:f>IF(F748="","",MIN(F748,E748))</x:f>
      </x:c>
      <x:c r="H748" s="10" t="str">
        <x:f>IF(F748="","",MAX(0,F748-E748))</x:f>
      </x:c>
      <x:c r="I748" s="24"/>
      <x:c r="J748" s="7"/>
      <x:c r="K748" s="8" t="str">
        <x:f>IF(A748="","",DATE(YEAR(A748),MONTH(A748),1))</x:f>
      </x:c>
    </x:row>
    <x:row r="749">
      <x:c r="A749" s="9"/>
      <x:c r="B749" s="7"/>
      <x:c r="C749" s="7" t="str">
        <x:f>IF(B749="","",XLOOKUP(B749,Employees!$A$4:$A$53,Employees!$B$4:$B$53,""))</x:f>
      </x:c>
      <x:c r="D749" s="7"/>
      <x:c r="E749" s="10" t="n">
        <x:v>8</x:v>
      </x:c>
      <x:c r="F749" s="10"/>
      <x:c r="G749" s="10" t="str">
        <x:f>IF(F749="","",MIN(F749,E749))</x:f>
      </x:c>
      <x:c r="H749" s="10" t="str">
        <x:f>IF(F749="","",MAX(0,F749-E749))</x:f>
      </x:c>
      <x:c r="I749" s="24"/>
      <x:c r="J749" s="7"/>
      <x:c r="K749" s="8" t="str">
        <x:f>IF(A749="","",DATE(YEAR(A749),MONTH(A749),1))</x:f>
      </x:c>
    </x:row>
    <x:row r="750">
      <x:c r="A750" s="9"/>
      <x:c r="B750" s="7"/>
      <x:c r="C750" s="7" t="str">
        <x:f>IF(B750="","",XLOOKUP(B750,Employees!$A$4:$A$53,Employees!$B$4:$B$53,""))</x:f>
      </x:c>
      <x:c r="D750" s="7"/>
      <x:c r="E750" s="10" t="n">
        <x:v>8</x:v>
      </x:c>
      <x:c r="F750" s="10"/>
      <x:c r="G750" s="10" t="str">
        <x:f>IF(F750="","",MIN(F750,E750))</x:f>
      </x:c>
      <x:c r="H750" s="10" t="str">
        <x:f>IF(F750="","",MAX(0,F750-E750))</x:f>
      </x:c>
      <x:c r="I750" s="24"/>
      <x:c r="J750" s="7"/>
      <x:c r="K750" s="8" t="str">
        <x:f>IF(A750="","",DATE(YEAR(A750),MONTH(A750),1))</x:f>
      </x:c>
    </x:row>
    <x:row r="751">
      <x:c r="A751" s="9"/>
      <x:c r="B751" s="7"/>
      <x:c r="C751" s="7" t="str">
        <x:f>IF(B751="","",XLOOKUP(B751,Employees!$A$4:$A$53,Employees!$B$4:$B$53,""))</x:f>
      </x:c>
      <x:c r="D751" s="7"/>
      <x:c r="E751" s="10" t="n">
        <x:v>8</x:v>
      </x:c>
      <x:c r="F751" s="10"/>
      <x:c r="G751" s="10" t="str">
        <x:f>IF(F751="","",MIN(F751,E751))</x:f>
      </x:c>
      <x:c r="H751" s="10" t="str">
        <x:f>IF(F751="","",MAX(0,F751-E751))</x:f>
      </x:c>
      <x:c r="I751" s="24"/>
      <x:c r="J751" s="7"/>
      <x:c r="K751" s="8" t="str">
        <x:f>IF(A751="","",DATE(YEAR(A751),MONTH(A751),1))</x:f>
      </x:c>
    </x:row>
    <x:row r="752">
      <x:c r="A752" s="9"/>
      <x:c r="B752" s="7"/>
      <x:c r="C752" s="7" t="str">
        <x:f>IF(B752="","",XLOOKUP(B752,Employees!$A$4:$A$53,Employees!$B$4:$B$53,""))</x:f>
      </x:c>
      <x:c r="D752" s="7"/>
      <x:c r="E752" s="10" t="n">
        <x:v>8</x:v>
      </x:c>
      <x:c r="F752" s="10"/>
      <x:c r="G752" s="10" t="str">
        <x:f>IF(F752="","",MIN(F752,E752))</x:f>
      </x:c>
      <x:c r="H752" s="10" t="str">
        <x:f>IF(F752="","",MAX(0,F752-E752))</x:f>
      </x:c>
      <x:c r="I752" s="24"/>
      <x:c r="J752" s="7"/>
      <x:c r="K752" s="8" t="str">
        <x:f>IF(A752="","",DATE(YEAR(A752),MONTH(A752),1))</x:f>
      </x:c>
    </x:row>
    <x:row r="753">
      <x:c r="A753" s="9"/>
      <x:c r="B753" s="7"/>
      <x:c r="C753" s="7" t="str">
        <x:f>IF(B753="","",XLOOKUP(B753,Employees!$A$4:$A$53,Employees!$B$4:$B$53,""))</x:f>
      </x:c>
      <x:c r="D753" s="7"/>
      <x:c r="E753" s="10" t="n">
        <x:v>8</x:v>
      </x:c>
      <x:c r="F753" s="10"/>
      <x:c r="G753" s="10" t="str">
        <x:f>IF(F753="","",MIN(F753,E753))</x:f>
      </x:c>
      <x:c r="H753" s="10" t="str">
        <x:f>IF(F753="","",MAX(0,F753-E753))</x:f>
      </x:c>
      <x:c r="I753" s="24"/>
      <x:c r="J753" s="7"/>
      <x:c r="K753" s="8" t="str">
        <x:f>IF(A753="","",DATE(YEAR(A753),MONTH(A753),1))</x:f>
      </x:c>
    </x:row>
    <x:row r="754">
      <x:c r="A754" s="9"/>
      <x:c r="B754" s="7"/>
      <x:c r="C754" s="7" t="str">
        <x:f>IF(B754="","",XLOOKUP(B754,Employees!$A$4:$A$53,Employees!$B$4:$B$53,""))</x:f>
      </x:c>
      <x:c r="D754" s="7"/>
      <x:c r="E754" s="10" t="n">
        <x:v>8</x:v>
      </x:c>
      <x:c r="F754" s="10"/>
      <x:c r="G754" s="10" t="str">
        <x:f>IF(F754="","",MIN(F754,E754))</x:f>
      </x:c>
      <x:c r="H754" s="10" t="str">
        <x:f>IF(F754="","",MAX(0,F754-E754))</x:f>
      </x:c>
      <x:c r="I754" s="24"/>
      <x:c r="J754" s="7"/>
      <x:c r="K754" s="8" t="str">
        <x:f>IF(A754="","",DATE(YEAR(A754),MONTH(A754),1))</x:f>
      </x:c>
    </x:row>
    <x:row r="755">
      <x:c r="A755" s="9"/>
      <x:c r="B755" s="7"/>
      <x:c r="C755" s="7" t="str">
        <x:f>IF(B755="","",XLOOKUP(B755,Employees!$A$4:$A$53,Employees!$B$4:$B$53,""))</x:f>
      </x:c>
      <x:c r="D755" s="7"/>
      <x:c r="E755" s="10" t="n">
        <x:v>8</x:v>
      </x:c>
      <x:c r="F755" s="10"/>
      <x:c r="G755" s="10" t="str">
        <x:f>IF(F755="","",MIN(F755,E755))</x:f>
      </x:c>
      <x:c r="H755" s="10" t="str">
        <x:f>IF(F755="","",MAX(0,F755-E755))</x:f>
      </x:c>
      <x:c r="I755" s="24"/>
      <x:c r="J755" s="7"/>
      <x:c r="K755" s="8" t="str">
        <x:f>IF(A755="","",DATE(YEAR(A755),MONTH(A755),1))</x:f>
      </x:c>
    </x:row>
    <x:row r="756">
      <x:c r="A756" s="9"/>
      <x:c r="B756" s="7"/>
      <x:c r="C756" s="7" t="str">
        <x:f>IF(B756="","",XLOOKUP(B756,Employees!$A$4:$A$53,Employees!$B$4:$B$53,""))</x:f>
      </x:c>
      <x:c r="D756" s="7"/>
      <x:c r="E756" s="10" t="n">
        <x:v>8</x:v>
      </x:c>
      <x:c r="F756" s="10"/>
      <x:c r="G756" s="10" t="str">
        <x:f>IF(F756="","",MIN(F756,E756))</x:f>
      </x:c>
      <x:c r="H756" s="10" t="str">
        <x:f>IF(F756="","",MAX(0,F756-E756))</x:f>
      </x:c>
      <x:c r="I756" s="24"/>
      <x:c r="J756" s="7"/>
      <x:c r="K756" s="8" t="str">
        <x:f>IF(A756="","",DATE(YEAR(A756),MONTH(A756),1))</x:f>
      </x:c>
    </x:row>
    <x:row r="757">
      <x:c r="A757" s="9"/>
      <x:c r="B757" s="7"/>
      <x:c r="C757" s="7" t="str">
        <x:f>IF(B757="","",XLOOKUP(B757,Employees!$A$4:$A$53,Employees!$B$4:$B$53,""))</x:f>
      </x:c>
      <x:c r="D757" s="7"/>
      <x:c r="E757" s="10" t="n">
        <x:v>8</x:v>
      </x:c>
      <x:c r="F757" s="10"/>
      <x:c r="G757" s="10" t="str">
        <x:f>IF(F757="","",MIN(F757,E757))</x:f>
      </x:c>
      <x:c r="H757" s="10" t="str">
        <x:f>IF(F757="","",MAX(0,F757-E757))</x:f>
      </x:c>
      <x:c r="I757" s="24"/>
      <x:c r="J757" s="7"/>
      <x:c r="K757" s="8" t="str">
        <x:f>IF(A757="","",DATE(YEAR(A757),MONTH(A757),1))</x:f>
      </x:c>
    </x:row>
    <x:row r="758">
      <x:c r="A758" s="9"/>
      <x:c r="B758" s="7"/>
      <x:c r="C758" s="7" t="str">
        <x:f>IF(B758="","",XLOOKUP(B758,Employees!$A$4:$A$53,Employees!$B$4:$B$53,""))</x:f>
      </x:c>
      <x:c r="D758" s="7"/>
      <x:c r="E758" s="10" t="n">
        <x:v>8</x:v>
      </x:c>
      <x:c r="F758" s="10"/>
      <x:c r="G758" s="10" t="str">
        <x:f>IF(F758="","",MIN(F758,E758))</x:f>
      </x:c>
      <x:c r="H758" s="10" t="str">
        <x:f>IF(F758="","",MAX(0,F758-E758))</x:f>
      </x:c>
      <x:c r="I758" s="24"/>
      <x:c r="J758" s="7"/>
      <x:c r="K758" s="8" t="str">
        <x:f>IF(A758="","",DATE(YEAR(A758),MONTH(A758),1))</x:f>
      </x:c>
    </x:row>
    <x:row r="759">
      <x:c r="A759" s="9"/>
      <x:c r="B759" s="7"/>
      <x:c r="C759" s="7" t="str">
        <x:f>IF(B759="","",XLOOKUP(B759,Employees!$A$4:$A$53,Employees!$B$4:$B$53,""))</x:f>
      </x:c>
      <x:c r="D759" s="7"/>
      <x:c r="E759" s="10" t="n">
        <x:v>8</x:v>
      </x:c>
      <x:c r="F759" s="10"/>
      <x:c r="G759" s="10" t="str">
        <x:f>IF(F759="","",MIN(F759,E759))</x:f>
      </x:c>
      <x:c r="H759" s="10" t="str">
        <x:f>IF(F759="","",MAX(0,F759-E759))</x:f>
      </x:c>
      <x:c r="I759" s="24"/>
      <x:c r="J759" s="7"/>
      <x:c r="K759" s="8" t="str">
        <x:f>IF(A759="","",DATE(YEAR(A759),MONTH(A759),1))</x:f>
      </x:c>
    </x:row>
    <x:row r="760">
      <x:c r="A760" s="9"/>
      <x:c r="B760" s="7"/>
      <x:c r="C760" s="7" t="str">
        <x:f>IF(B760="","",XLOOKUP(B760,Employees!$A$4:$A$53,Employees!$B$4:$B$53,""))</x:f>
      </x:c>
      <x:c r="D760" s="7"/>
      <x:c r="E760" s="10" t="n">
        <x:v>8</x:v>
      </x:c>
      <x:c r="F760" s="10"/>
      <x:c r="G760" s="10" t="str">
        <x:f>IF(F760="","",MIN(F760,E760))</x:f>
      </x:c>
      <x:c r="H760" s="10" t="str">
        <x:f>IF(F760="","",MAX(0,F760-E760))</x:f>
      </x:c>
      <x:c r="I760" s="24"/>
      <x:c r="J760" s="7"/>
      <x:c r="K760" s="8" t="str">
        <x:f>IF(A760="","",DATE(YEAR(A760),MONTH(A760),1))</x:f>
      </x:c>
    </x:row>
    <x:row r="761">
      <x:c r="A761" s="9"/>
      <x:c r="B761" s="7"/>
      <x:c r="C761" s="7" t="str">
        <x:f>IF(B761="","",XLOOKUP(B761,Employees!$A$4:$A$53,Employees!$B$4:$B$53,""))</x:f>
      </x:c>
      <x:c r="D761" s="7"/>
      <x:c r="E761" s="10" t="n">
        <x:v>8</x:v>
      </x:c>
      <x:c r="F761" s="10"/>
      <x:c r="G761" s="10" t="str">
        <x:f>IF(F761="","",MIN(F761,E761))</x:f>
      </x:c>
      <x:c r="H761" s="10" t="str">
        <x:f>IF(F761="","",MAX(0,F761-E761))</x:f>
      </x:c>
      <x:c r="I761" s="24"/>
      <x:c r="J761" s="7"/>
      <x:c r="K761" s="8" t="str">
        <x:f>IF(A761="","",DATE(YEAR(A761),MONTH(A761),1))</x:f>
      </x:c>
    </x:row>
    <x:row r="762">
      <x:c r="A762" s="9"/>
      <x:c r="B762" s="7"/>
      <x:c r="C762" s="7" t="str">
        <x:f>IF(B762="","",XLOOKUP(B762,Employees!$A$4:$A$53,Employees!$B$4:$B$53,""))</x:f>
      </x:c>
      <x:c r="D762" s="7"/>
      <x:c r="E762" s="10" t="n">
        <x:v>8</x:v>
      </x:c>
      <x:c r="F762" s="10"/>
      <x:c r="G762" s="10" t="str">
        <x:f>IF(F762="","",MIN(F762,E762))</x:f>
      </x:c>
      <x:c r="H762" s="10" t="str">
        <x:f>IF(F762="","",MAX(0,F762-E762))</x:f>
      </x:c>
      <x:c r="I762" s="24"/>
      <x:c r="J762" s="7"/>
      <x:c r="K762" s="8" t="str">
        <x:f>IF(A762="","",DATE(YEAR(A762),MONTH(A762),1))</x:f>
      </x:c>
    </x:row>
    <x:row r="763">
      <x:c r="A763" s="9"/>
      <x:c r="B763" s="7"/>
      <x:c r="C763" s="7" t="str">
        <x:f>IF(B763="","",XLOOKUP(B763,Employees!$A$4:$A$53,Employees!$B$4:$B$53,""))</x:f>
      </x:c>
      <x:c r="D763" s="7"/>
      <x:c r="E763" s="10" t="n">
        <x:v>8</x:v>
      </x:c>
      <x:c r="F763" s="10"/>
      <x:c r="G763" s="10" t="str">
        <x:f>IF(F763="","",MIN(F763,E763))</x:f>
      </x:c>
      <x:c r="H763" s="10" t="str">
        <x:f>IF(F763="","",MAX(0,F763-E763))</x:f>
      </x:c>
      <x:c r="I763" s="24"/>
      <x:c r="J763" s="7"/>
      <x:c r="K763" s="8" t="str">
        <x:f>IF(A763="","",DATE(YEAR(A763),MONTH(A763),1))</x:f>
      </x:c>
    </x:row>
    <x:row r="764">
      <x:c r="A764" s="9"/>
      <x:c r="B764" s="7"/>
      <x:c r="C764" s="7" t="str">
        <x:f>IF(B764="","",XLOOKUP(B764,Employees!$A$4:$A$53,Employees!$B$4:$B$53,""))</x:f>
      </x:c>
      <x:c r="D764" s="7"/>
      <x:c r="E764" s="10" t="n">
        <x:v>8</x:v>
      </x:c>
      <x:c r="F764" s="10"/>
      <x:c r="G764" s="10" t="str">
        <x:f>IF(F764="","",MIN(F764,E764))</x:f>
      </x:c>
      <x:c r="H764" s="10" t="str">
        <x:f>IF(F764="","",MAX(0,F764-E764))</x:f>
      </x:c>
      <x:c r="I764" s="24"/>
      <x:c r="J764" s="7"/>
      <x:c r="K764" s="8" t="str">
        <x:f>IF(A764="","",DATE(YEAR(A764),MONTH(A764),1))</x:f>
      </x:c>
    </x:row>
    <x:row r="765">
      <x:c r="A765" s="9"/>
      <x:c r="B765" s="7"/>
      <x:c r="C765" s="7" t="str">
        <x:f>IF(B765="","",XLOOKUP(B765,Employees!$A$4:$A$53,Employees!$B$4:$B$53,""))</x:f>
      </x:c>
      <x:c r="D765" s="7"/>
      <x:c r="E765" s="10" t="n">
        <x:v>8</x:v>
      </x:c>
      <x:c r="F765" s="10"/>
      <x:c r="G765" s="10" t="str">
        <x:f>IF(F765="","",MIN(F765,E765))</x:f>
      </x:c>
      <x:c r="H765" s="10" t="str">
        <x:f>IF(F765="","",MAX(0,F765-E765))</x:f>
      </x:c>
      <x:c r="I765" s="24"/>
      <x:c r="J765" s="7"/>
      <x:c r="K765" s="8" t="str">
        <x:f>IF(A765="","",DATE(YEAR(A765),MONTH(A765),1))</x:f>
      </x:c>
    </x:row>
    <x:row r="766">
      <x:c r="A766" s="9"/>
      <x:c r="B766" s="7"/>
      <x:c r="C766" s="7" t="str">
        <x:f>IF(B766="","",XLOOKUP(B766,Employees!$A$4:$A$53,Employees!$B$4:$B$53,""))</x:f>
      </x:c>
      <x:c r="D766" s="7"/>
      <x:c r="E766" s="10" t="n">
        <x:v>8</x:v>
      </x:c>
      <x:c r="F766" s="10"/>
      <x:c r="G766" s="10" t="str">
        <x:f>IF(F766="","",MIN(F766,E766))</x:f>
      </x:c>
      <x:c r="H766" s="10" t="str">
        <x:f>IF(F766="","",MAX(0,F766-E766))</x:f>
      </x:c>
      <x:c r="I766" s="24"/>
      <x:c r="J766" s="7"/>
      <x:c r="K766" s="8" t="str">
        <x:f>IF(A766="","",DATE(YEAR(A766),MONTH(A766),1))</x:f>
      </x:c>
    </x:row>
    <x:row r="767">
      <x:c r="A767" s="9"/>
      <x:c r="B767" s="7"/>
      <x:c r="C767" s="7" t="str">
        <x:f>IF(B767="","",XLOOKUP(B767,Employees!$A$4:$A$53,Employees!$B$4:$B$53,""))</x:f>
      </x:c>
      <x:c r="D767" s="7"/>
      <x:c r="E767" s="10" t="n">
        <x:v>8</x:v>
      </x:c>
      <x:c r="F767" s="10"/>
      <x:c r="G767" s="10" t="str">
        <x:f>IF(F767="","",MIN(F767,E767))</x:f>
      </x:c>
      <x:c r="H767" s="10" t="str">
        <x:f>IF(F767="","",MAX(0,F767-E767))</x:f>
      </x:c>
      <x:c r="I767" s="24"/>
      <x:c r="J767" s="7"/>
      <x:c r="K767" s="8" t="str">
        <x:f>IF(A767="","",DATE(YEAR(A767),MONTH(A767),1))</x:f>
      </x:c>
    </x:row>
    <x:row r="768">
      <x:c r="A768" s="9"/>
      <x:c r="B768" s="7"/>
      <x:c r="C768" s="7" t="str">
        <x:f>IF(B768="","",XLOOKUP(B768,Employees!$A$4:$A$53,Employees!$B$4:$B$53,""))</x:f>
      </x:c>
      <x:c r="D768" s="7"/>
      <x:c r="E768" s="10" t="n">
        <x:v>8</x:v>
      </x:c>
      <x:c r="F768" s="10"/>
      <x:c r="G768" s="10" t="str">
        <x:f>IF(F768="","",MIN(F768,E768))</x:f>
      </x:c>
      <x:c r="H768" s="10" t="str">
        <x:f>IF(F768="","",MAX(0,F768-E768))</x:f>
      </x:c>
      <x:c r="I768" s="24"/>
      <x:c r="J768" s="7"/>
      <x:c r="K768" s="8" t="str">
        <x:f>IF(A768="","",DATE(YEAR(A768),MONTH(A768),1))</x:f>
      </x:c>
    </x:row>
    <x:row r="769">
      <x:c r="A769" s="9"/>
      <x:c r="B769" s="7"/>
      <x:c r="C769" s="7" t="str">
        <x:f>IF(B769="","",XLOOKUP(B769,Employees!$A$4:$A$53,Employees!$B$4:$B$53,""))</x:f>
      </x:c>
      <x:c r="D769" s="7"/>
      <x:c r="E769" s="10" t="n">
        <x:v>8</x:v>
      </x:c>
      <x:c r="F769" s="10"/>
      <x:c r="G769" s="10" t="str">
        <x:f>IF(F769="","",MIN(F769,E769))</x:f>
      </x:c>
      <x:c r="H769" s="10" t="str">
        <x:f>IF(F769="","",MAX(0,F769-E769))</x:f>
      </x:c>
      <x:c r="I769" s="24"/>
      <x:c r="J769" s="7"/>
      <x:c r="K769" s="8" t="str">
        <x:f>IF(A769="","",DATE(YEAR(A769),MONTH(A769),1))</x:f>
      </x:c>
    </x:row>
    <x:row r="770">
      <x:c r="A770" s="9"/>
      <x:c r="B770" s="7"/>
      <x:c r="C770" s="7" t="str">
        <x:f>IF(B770="","",XLOOKUP(B770,Employees!$A$4:$A$53,Employees!$B$4:$B$53,""))</x:f>
      </x:c>
      <x:c r="D770" s="7"/>
      <x:c r="E770" s="10" t="n">
        <x:v>8</x:v>
      </x:c>
      <x:c r="F770" s="10"/>
      <x:c r="G770" s="10" t="str">
        <x:f>IF(F770="","",MIN(F770,E770))</x:f>
      </x:c>
      <x:c r="H770" s="10" t="str">
        <x:f>IF(F770="","",MAX(0,F770-E770))</x:f>
      </x:c>
      <x:c r="I770" s="24"/>
      <x:c r="J770" s="7"/>
      <x:c r="K770" s="8" t="str">
        <x:f>IF(A770="","",DATE(YEAR(A770),MONTH(A770),1))</x:f>
      </x:c>
    </x:row>
    <x:row r="771">
      <x:c r="A771" s="9"/>
      <x:c r="B771" s="7"/>
      <x:c r="C771" s="7" t="str">
        <x:f>IF(B771="","",XLOOKUP(B771,Employees!$A$4:$A$53,Employees!$B$4:$B$53,""))</x:f>
      </x:c>
      <x:c r="D771" s="7"/>
      <x:c r="E771" s="10" t="n">
        <x:v>8</x:v>
      </x:c>
      <x:c r="F771" s="10"/>
      <x:c r="G771" s="10" t="str">
        <x:f>IF(F771="","",MIN(F771,E771))</x:f>
      </x:c>
      <x:c r="H771" s="10" t="str">
        <x:f>IF(F771="","",MAX(0,F771-E771))</x:f>
      </x:c>
      <x:c r="I771" s="24"/>
      <x:c r="J771" s="7"/>
      <x:c r="K771" s="8" t="str">
        <x:f>IF(A771="","",DATE(YEAR(A771),MONTH(A771),1))</x:f>
      </x:c>
    </x:row>
    <x:row r="772">
      <x:c r="A772" s="9"/>
      <x:c r="B772" s="7"/>
      <x:c r="C772" s="7" t="str">
        <x:f>IF(B772="","",XLOOKUP(B772,Employees!$A$4:$A$53,Employees!$B$4:$B$53,""))</x:f>
      </x:c>
      <x:c r="D772" s="7"/>
      <x:c r="E772" s="10" t="n">
        <x:v>8</x:v>
      </x:c>
      <x:c r="F772" s="10"/>
      <x:c r="G772" s="10" t="str">
        <x:f>IF(F772="","",MIN(F772,E772))</x:f>
      </x:c>
      <x:c r="H772" s="10" t="str">
        <x:f>IF(F772="","",MAX(0,F772-E772))</x:f>
      </x:c>
      <x:c r="I772" s="24"/>
      <x:c r="J772" s="7"/>
      <x:c r="K772" s="8" t="str">
        <x:f>IF(A772="","",DATE(YEAR(A772),MONTH(A772),1))</x:f>
      </x:c>
    </x:row>
    <x:row r="773">
      <x:c r="A773" s="9"/>
      <x:c r="B773" s="7"/>
      <x:c r="C773" s="7" t="str">
        <x:f>IF(B773="","",XLOOKUP(B773,Employees!$A$4:$A$53,Employees!$B$4:$B$53,""))</x:f>
      </x:c>
      <x:c r="D773" s="7"/>
      <x:c r="E773" s="10" t="n">
        <x:v>8</x:v>
      </x:c>
      <x:c r="F773" s="10"/>
      <x:c r="G773" s="10" t="str">
        <x:f>IF(F773="","",MIN(F773,E773))</x:f>
      </x:c>
      <x:c r="H773" s="10" t="str">
        <x:f>IF(F773="","",MAX(0,F773-E773))</x:f>
      </x:c>
      <x:c r="I773" s="24"/>
      <x:c r="J773" s="7"/>
      <x:c r="K773" s="8" t="str">
        <x:f>IF(A773="","",DATE(YEAR(A773),MONTH(A773),1))</x:f>
      </x:c>
    </x:row>
    <x:row r="774">
      <x:c r="A774" s="9"/>
      <x:c r="B774" s="7"/>
      <x:c r="C774" s="7" t="str">
        <x:f>IF(B774="","",XLOOKUP(B774,Employees!$A$4:$A$53,Employees!$B$4:$B$53,""))</x:f>
      </x:c>
      <x:c r="D774" s="7"/>
      <x:c r="E774" s="10" t="n">
        <x:v>8</x:v>
      </x:c>
      <x:c r="F774" s="10"/>
      <x:c r="G774" s="10" t="str">
        <x:f>IF(F774="","",MIN(F774,E774))</x:f>
      </x:c>
      <x:c r="H774" s="10" t="str">
        <x:f>IF(F774="","",MAX(0,F774-E774))</x:f>
      </x:c>
      <x:c r="I774" s="24"/>
      <x:c r="J774" s="7"/>
      <x:c r="K774" s="8" t="str">
        <x:f>IF(A774="","",DATE(YEAR(A774),MONTH(A774),1))</x:f>
      </x:c>
    </x:row>
    <x:row r="775">
      <x:c r="A775" s="9"/>
      <x:c r="B775" s="7"/>
      <x:c r="C775" s="7" t="str">
        <x:f>IF(B775="","",XLOOKUP(B775,Employees!$A$4:$A$53,Employees!$B$4:$B$53,""))</x:f>
      </x:c>
      <x:c r="D775" s="7"/>
      <x:c r="E775" s="10" t="n">
        <x:v>8</x:v>
      </x:c>
      <x:c r="F775" s="10"/>
      <x:c r="G775" s="10" t="str">
        <x:f>IF(F775="","",MIN(F775,E775))</x:f>
      </x:c>
      <x:c r="H775" s="10" t="str">
        <x:f>IF(F775="","",MAX(0,F775-E775))</x:f>
      </x:c>
      <x:c r="I775" s="24"/>
      <x:c r="J775" s="7"/>
      <x:c r="K775" s="8" t="str">
        <x:f>IF(A775="","",DATE(YEAR(A775),MONTH(A775),1))</x:f>
      </x:c>
    </x:row>
    <x:row r="776">
      <x:c r="A776" s="9"/>
      <x:c r="B776" s="7"/>
      <x:c r="C776" s="7" t="str">
        <x:f>IF(B776="","",XLOOKUP(B776,Employees!$A$4:$A$53,Employees!$B$4:$B$53,""))</x:f>
      </x:c>
      <x:c r="D776" s="7"/>
      <x:c r="E776" s="10" t="n">
        <x:v>8</x:v>
      </x:c>
      <x:c r="F776" s="10"/>
      <x:c r="G776" s="10" t="str">
        <x:f>IF(F776="","",MIN(F776,E776))</x:f>
      </x:c>
      <x:c r="H776" s="10" t="str">
        <x:f>IF(F776="","",MAX(0,F776-E776))</x:f>
      </x:c>
      <x:c r="I776" s="24"/>
      <x:c r="J776" s="7"/>
      <x:c r="K776" s="8" t="str">
        <x:f>IF(A776="","",DATE(YEAR(A776),MONTH(A776),1))</x:f>
      </x:c>
    </x:row>
    <x:row r="777">
      <x:c r="A777" s="9"/>
      <x:c r="B777" s="7"/>
      <x:c r="C777" s="7" t="str">
        <x:f>IF(B777="","",XLOOKUP(B777,Employees!$A$4:$A$53,Employees!$B$4:$B$53,""))</x:f>
      </x:c>
      <x:c r="D777" s="7"/>
      <x:c r="E777" s="10" t="n">
        <x:v>8</x:v>
      </x:c>
      <x:c r="F777" s="10"/>
      <x:c r="G777" s="10" t="str">
        <x:f>IF(F777="","",MIN(F777,E777))</x:f>
      </x:c>
      <x:c r="H777" s="10" t="str">
        <x:f>IF(F777="","",MAX(0,F777-E777))</x:f>
      </x:c>
      <x:c r="I777" s="24"/>
      <x:c r="J777" s="7"/>
      <x:c r="K777" s="8" t="str">
        <x:f>IF(A777="","",DATE(YEAR(A777),MONTH(A777),1))</x:f>
      </x:c>
    </x:row>
    <x:row r="778">
      <x:c r="A778" s="9"/>
      <x:c r="B778" s="7"/>
      <x:c r="C778" s="7" t="str">
        <x:f>IF(B778="","",XLOOKUP(B778,Employees!$A$4:$A$53,Employees!$B$4:$B$53,""))</x:f>
      </x:c>
      <x:c r="D778" s="7"/>
      <x:c r="E778" s="10" t="n">
        <x:v>8</x:v>
      </x:c>
      <x:c r="F778" s="10"/>
      <x:c r="G778" s="10" t="str">
        <x:f>IF(F778="","",MIN(F778,E778))</x:f>
      </x:c>
      <x:c r="H778" s="10" t="str">
        <x:f>IF(F778="","",MAX(0,F778-E778))</x:f>
      </x:c>
      <x:c r="I778" s="24"/>
      <x:c r="J778" s="7"/>
      <x:c r="K778" s="8" t="str">
        <x:f>IF(A778="","",DATE(YEAR(A778),MONTH(A778),1))</x:f>
      </x:c>
    </x:row>
    <x:row r="779">
      <x:c r="A779" s="9"/>
      <x:c r="B779" s="7"/>
      <x:c r="C779" s="7" t="str">
        <x:f>IF(B779="","",XLOOKUP(B779,Employees!$A$4:$A$53,Employees!$B$4:$B$53,""))</x:f>
      </x:c>
      <x:c r="D779" s="7"/>
      <x:c r="E779" s="10" t="n">
        <x:v>8</x:v>
      </x:c>
      <x:c r="F779" s="10"/>
      <x:c r="G779" s="10" t="str">
        <x:f>IF(F779="","",MIN(F779,E779))</x:f>
      </x:c>
      <x:c r="H779" s="10" t="str">
        <x:f>IF(F779="","",MAX(0,F779-E779))</x:f>
      </x:c>
      <x:c r="I779" s="24"/>
      <x:c r="J779" s="7"/>
      <x:c r="K779" s="8" t="str">
        <x:f>IF(A779="","",DATE(YEAR(A779),MONTH(A779),1))</x:f>
      </x:c>
    </x:row>
    <x:row r="780">
      <x:c r="A780" s="9"/>
      <x:c r="B780" s="7"/>
      <x:c r="C780" s="7" t="str">
        <x:f>IF(B780="","",XLOOKUP(B780,Employees!$A$4:$A$53,Employees!$B$4:$B$53,""))</x:f>
      </x:c>
      <x:c r="D780" s="7"/>
      <x:c r="E780" s="10" t="n">
        <x:v>8</x:v>
      </x:c>
      <x:c r="F780" s="10"/>
      <x:c r="G780" s="10" t="str">
        <x:f>IF(F780="","",MIN(F780,E780))</x:f>
      </x:c>
      <x:c r="H780" s="10" t="str">
        <x:f>IF(F780="","",MAX(0,F780-E780))</x:f>
      </x:c>
      <x:c r="I780" s="24"/>
      <x:c r="J780" s="7"/>
      <x:c r="K780" s="8" t="str">
        <x:f>IF(A780="","",DATE(YEAR(A780),MONTH(A780),1))</x:f>
      </x:c>
    </x:row>
    <x:row r="781">
      <x:c r="A781" s="9"/>
      <x:c r="B781" s="7"/>
      <x:c r="C781" s="7" t="str">
        <x:f>IF(B781="","",XLOOKUP(B781,Employees!$A$4:$A$53,Employees!$B$4:$B$53,""))</x:f>
      </x:c>
      <x:c r="D781" s="7"/>
      <x:c r="E781" s="10" t="n">
        <x:v>8</x:v>
      </x:c>
      <x:c r="F781" s="10"/>
      <x:c r="G781" s="10" t="str">
        <x:f>IF(F781="","",MIN(F781,E781))</x:f>
      </x:c>
      <x:c r="H781" s="10" t="str">
        <x:f>IF(F781="","",MAX(0,F781-E781))</x:f>
      </x:c>
      <x:c r="I781" s="24"/>
      <x:c r="J781" s="7"/>
      <x:c r="K781" s="8" t="str">
        <x:f>IF(A781="","",DATE(YEAR(A781),MONTH(A781),1))</x:f>
      </x:c>
    </x:row>
    <x:row r="782">
      <x:c r="A782" s="9"/>
      <x:c r="B782" s="7"/>
      <x:c r="C782" s="7" t="str">
        <x:f>IF(B782="","",XLOOKUP(B782,Employees!$A$4:$A$53,Employees!$B$4:$B$53,""))</x:f>
      </x:c>
      <x:c r="D782" s="7"/>
      <x:c r="E782" s="10" t="n">
        <x:v>8</x:v>
      </x:c>
      <x:c r="F782" s="10"/>
      <x:c r="G782" s="10" t="str">
        <x:f>IF(F782="","",MIN(F782,E782))</x:f>
      </x:c>
      <x:c r="H782" s="10" t="str">
        <x:f>IF(F782="","",MAX(0,F782-E782))</x:f>
      </x:c>
      <x:c r="I782" s="24"/>
      <x:c r="J782" s="7"/>
      <x:c r="K782" s="8" t="str">
        <x:f>IF(A782="","",DATE(YEAR(A782),MONTH(A782),1))</x:f>
      </x:c>
    </x:row>
    <x:row r="783">
      <x:c r="A783" s="9"/>
      <x:c r="B783" s="7"/>
      <x:c r="C783" s="7" t="str">
        <x:f>IF(B783="","",XLOOKUP(B783,Employees!$A$4:$A$53,Employees!$B$4:$B$53,""))</x:f>
      </x:c>
      <x:c r="D783" s="7"/>
      <x:c r="E783" s="10" t="n">
        <x:v>8</x:v>
      </x:c>
      <x:c r="F783" s="10"/>
      <x:c r="G783" s="10" t="str">
        <x:f>IF(F783="","",MIN(F783,E783))</x:f>
      </x:c>
      <x:c r="H783" s="10" t="str">
        <x:f>IF(F783="","",MAX(0,F783-E783))</x:f>
      </x:c>
      <x:c r="I783" s="24"/>
      <x:c r="J783" s="7"/>
      <x:c r="K783" s="8" t="str">
        <x:f>IF(A783="","",DATE(YEAR(A783),MONTH(A783),1))</x:f>
      </x:c>
    </x:row>
    <x:row r="784">
      <x:c r="A784" s="9"/>
      <x:c r="B784" s="7"/>
      <x:c r="C784" s="7" t="str">
        <x:f>IF(B784="","",XLOOKUP(B784,Employees!$A$4:$A$53,Employees!$B$4:$B$53,""))</x:f>
      </x:c>
      <x:c r="D784" s="7"/>
      <x:c r="E784" s="10" t="n">
        <x:v>8</x:v>
      </x:c>
      <x:c r="F784" s="10"/>
      <x:c r="G784" s="10" t="str">
        <x:f>IF(F784="","",MIN(F784,E784))</x:f>
      </x:c>
      <x:c r="H784" s="10" t="str">
        <x:f>IF(F784="","",MAX(0,F784-E784))</x:f>
      </x:c>
      <x:c r="I784" s="24"/>
      <x:c r="J784" s="7"/>
      <x:c r="K784" s="8" t="str">
        <x:f>IF(A784="","",DATE(YEAR(A784),MONTH(A784),1))</x:f>
      </x:c>
    </x:row>
    <x:row r="785">
      <x:c r="A785" s="9"/>
      <x:c r="B785" s="7"/>
      <x:c r="C785" s="7" t="str">
        <x:f>IF(B785="","",XLOOKUP(B785,Employees!$A$4:$A$53,Employees!$B$4:$B$53,""))</x:f>
      </x:c>
      <x:c r="D785" s="7"/>
      <x:c r="E785" s="10" t="n">
        <x:v>8</x:v>
      </x:c>
      <x:c r="F785" s="10"/>
      <x:c r="G785" s="10" t="str">
        <x:f>IF(F785="","",MIN(F785,E785))</x:f>
      </x:c>
      <x:c r="H785" s="10" t="str">
        <x:f>IF(F785="","",MAX(0,F785-E785))</x:f>
      </x:c>
      <x:c r="I785" s="24"/>
      <x:c r="J785" s="7"/>
      <x:c r="K785" s="8" t="str">
        <x:f>IF(A785="","",DATE(YEAR(A785),MONTH(A785),1))</x:f>
      </x:c>
    </x:row>
    <x:row r="786">
      <x:c r="A786" s="9"/>
      <x:c r="B786" s="7"/>
      <x:c r="C786" s="7" t="str">
        <x:f>IF(B786="","",XLOOKUP(B786,Employees!$A$4:$A$53,Employees!$B$4:$B$53,""))</x:f>
      </x:c>
      <x:c r="D786" s="7"/>
      <x:c r="E786" s="10" t="n">
        <x:v>8</x:v>
      </x:c>
      <x:c r="F786" s="10"/>
      <x:c r="G786" s="10" t="str">
        <x:f>IF(F786="","",MIN(F786,E786))</x:f>
      </x:c>
      <x:c r="H786" s="10" t="str">
        <x:f>IF(F786="","",MAX(0,F786-E786))</x:f>
      </x:c>
      <x:c r="I786" s="24"/>
      <x:c r="J786" s="7"/>
      <x:c r="K786" s="8" t="str">
        <x:f>IF(A786="","",DATE(YEAR(A786),MONTH(A786),1))</x:f>
      </x:c>
    </x:row>
    <x:row r="787">
      <x:c r="A787" s="9"/>
      <x:c r="B787" s="7"/>
      <x:c r="C787" s="7" t="str">
        <x:f>IF(B787="","",XLOOKUP(B787,Employees!$A$4:$A$53,Employees!$B$4:$B$53,""))</x:f>
      </x:c>
      <x:c r="D787" s="7"/>
      <x:c r="E787" s="10" t="n">
        <x:v>8</x:v>
      </x:c>
      <x:c r="F787" s="10"/>
      <x:c r="G787" s="10" t="str">
        <x:f>IF(F787="","",MIN(F787,E787))</x:f>
      </x:c>
      <x:c r="H787" s="10" t="str">
        <x:f>IF(F787="","",MAX(0,F787-E787))</x:f>
      </x:c>
      <x:c r="I787" s="24"/>
      <x:c r="J787" s="7"/>
      <x:c r="K787" s="8" t="str">
        <x:f>IF(A787="","",DATE(YEAR(A787),MONTH(A787),1))</x:f>
      </x:c>
    </x:row>
    <x:row r="788">
      <x:c r="A788" s="9"/>
      <x:c r="B788" s="7"/>
      <x:c r="C788" s="7" t="str">
        <x:f>IF(B788="","",XLOOKUP(B788,Employees!$A$4:$A$53,Employees!$B$4:$B$53,""))</x:f>
      </x:c>
      <x:c r="D788" s="7"/>
      <x:c r="E788" s="10" t="n">
        <x:v>8</x:v>
      </x:c>
      <x:c r="F788" s="10"/>
      <x:c r="G788" s="10" t="str">
        <x:f>IF(F788="","",MIN(F788,E788))</x:f>
      </x:c>
      <x:c r="H788" s="10" t="str">
        <x:f>IF(F788="","",MAX(0,F788-E788))</x:f>
      </x:c>
      <x:c r="I788" s="24"/>
      <x:c r="J788" s="7"/>
      <x:c r="K788" s="8" t="str">
        <x:f>IF(A788="","",DATE(YEAR(A788),MONTH(A788),1))</x:f>
      </x:c>
    </x:row>
    <x:row r="789">
      <x:c r="A789" s="9"/>
      <x:c r="B789" s="7"/>
      <x:c r="C789" s="7" t="str">
        <x:f>IF(B789="","",XLOOKUP(B789,Employees!$A$4:$A$53,Employees!$B$4:$B$53,""))</x:f>
      </x:c>
      <x:c r="D789" s="7"/>
      <x:c r="E789" s="10" t="n">
        <x:v>8</x:v>
      </x:c>
      <x:c r="F789" s="10"/>
      <x:c r="G789" s="10" t="str">
        <x:f>IF(F789="","",MIN(F789,E789))</x:f>
      </x:c>
      <x:c r="H789" s="10" t="str">
        <x:f>IF(F789="","",MAX(0,F789-E789))</x:f>
      </x:c>
      <x:c r="I789" s="24"/>
      <x:c r="J789" s="7"/>
      <x:c r="K789" s="8" t="str">
        <x:f>IF(A789="","",DATE(YEAR(A789),MONTH(A789),1))</x:f>
      </x:c>
    </x:row>
    <x:row r="790">
      <x:c r="A790" s="9"/>
      <x:c r="B790" s="7"/>
      <x:c r="C790" s="7" t="str">
        <x:f>IF(B790="","",XLOOKUP(B790,Employees!$A$4:$A$53,Employees!$B$4:$B$53,""))</x:f>
      </x:c>
      <x:c r="D790" s="7"/>
      <x:c r="E790" s="10" t="n">
        <x:v>8</x:v>
      </x:c>
      <x:c r="F790" s="10"/>
      <x:c r="G790" s="10" t="str">
        <x:f>IF(F790="","",MIN(F790,E790))</x:f>
      </x:c>
      <x:c r="H790" s="10" t="str">
        <x:f>IF(F790="","",MAX(0,F790-E790))</x:f>
      </x:c>
      <x:c r="I790" s="24"/>
      <x:c r="J790" s="7"/>
      <x:c r="K790" s="8" t="str">
        <x:f>IF(A790="","",DATE(YEAR(A790),MONTH(A790),1))</x:f>
      </x:c>
    </x:row>
    <x:row r="791">
      <x:c r="A791" s="9"/>
      <x:c r="B791" s="7"/>
      <x:c r="C791" s="7" t="str">
        <x:f>IF(B791="","",XLOOKUP(B791,Employees!$A$4:$A$53,Employees!$B$4:$B$53,""))</x:f>
      </x:c>
      <x:c r="D791" s="7"/>
      <x:c r="E791" s="10" t="n">
        <x:v>8</x:v>
      </x:c>
      <x:c r="F791" s="10"/>
      <x:c r="G791" s="10" t="str">
        <x:f>IF(F791="","",MIN(F791,E791))</x:f>
      </x:c>
      <x:c r="H791" s="10" t="str">
        <x:f>IF(F791="","",MAX(0,F791-E791))</x:f>
      </x:c>
      <x:c r="I791" s="24"/>
      <x:c r="J791" s="7"/>
      <x:c r="K791" s="8" t="str">
        <x:f>IF(A791="","",DATE(YEAR(A791),MONTH(A791),1))</x:f>
      </x:c>
    </x:row>
    <x:row r="792">
      <x:c r="A792" s="9"/>
      <x:c r="B792" s="7"/>
      <x:c r="C792" s="7" t="str">
        <x:f>IF(B792="","",XLOOKUP(B792,Employees!$A$4:$A$53,Employees!$B$4:$B$53,""))</x:f>
      </x:c>
      <x:c r="D792" s="7"/>
      <x:c r="E792" s="10" t="n">
        <x:v>8</x:v>
      </x:c>
      <x:c r="F792" s="10"/>
      <x:c r="G792" s="10" t="str">
        <x:f>IF(F792="","",MIN(F792,E792))</x:f>
      </x:c>
      <x:c r="H792" s="10" t="str">
        <x:f>IF(F792="","",MAX(0,F792-E792))</x:f>
      </x:c>
      <x:c r="I792" s="24"/>
      <x:c r="J792" s="7"/>
      <x:c r="K792" s="8" t="str">
        <x:f>IF(A792="","",DATE(YEAR(A792),MONTH(A792),1))</x:f>
      </x:c>
    </x:row>
    <x:row r="793">
      <x:c r="A793" s="9"/>
      <x:c r="B793" s="7"/>
      <x:c r="C793" s="7" t="str">
        <x:f>IF(B793="","",XLOOKUP(B793,Employees!$A$4:$A$53,Employees!$B$4:$B$53,""))</x:f>
      </x:c>
      <x:c r="D793" s="7"/>
      <x:c r="E793" s="10" t="n">
        <x:v>8</x:v>
      </x:c>
      <x:c r="F793" s="10"/>
      <x:c r="G793" s="10" t="str">
        <x:f>IF(F793="","",MIN(F793,E793))</x:f>
      </x:c>
      <x:c r="H793" s="10" t="str">
        <x:f>IF(F793="","",MAX(0,F793-E793))</x:f>
      </x:c>
      <x:c r="I793" s="24"/>
      <x:c r="J793" s="7"/>
      <x:c r="K793" s="8" t="str">
        <x:f>IF(A793="","",DATE(YEAR(A793),MONTH(A793),1))</x:f>
      </x:c>
    </x:row>
    <x:row r="794">
      <x:c r="A794" s="9"/>
      <x:c r="B794" s="7"/>
      <x:c r="C794" s="7" t="str">
        <x:f>IF(B794="","",XLOOKUP(B794,Employees!$A$4:$A$53,Employees!$B$4:$B$53,""))</x:f>
      </x:c>
      <x:c r="D794" s="7"/>
      <x:c r="E794" s="10" t="n">
        <x:v>8</x:v>
      </x:c>
      <x:c r="F794" s="10"/>
      <x:c r="G794" s="10" t="str">
        <x:f>IF(F794="","",MIN(F794,E794))</x:f>
      </x:c>
      <x:c r="H794" s="10" t="str">
        <x:f>IF(F794="","",MAX(0,F794-E794))</x:f>
      </x:c>
      <x:c r="I794" s="24"/>
      <x:c r="J794" s="7"/>
      <x:c r="K794" s="8" t="str">
        <x:f>IF(A794="","",DATE(YEAR(A794),MONTH(A794),1))</x:f>
      </x:c>
    </x:row>
    <x:row r="795">
      <x:c r="A795" s="9"/>
      <x:c r="B795" s="7"/>
      <x:c r="C795" s="7" t="str">
        <x:f>IF(B795="","",XLOOKUP(B795,Employees!$A$4:$A$53,Employees!$B$4:$B$53,""))</x:f>
      </x:c>
      <x:c r="D795" s="7"/>
      <x:c r="E795" s="10" t="n">
        <x:v>8</x:v>
      </x:c>
      <x:c r="F795" s="10"/>
      <x:c r="G795" s="10" t="str">
        <x:f>IF(F795="","",MIN(F795,E795))</x:f>
      </x:c>
      <x:c r="H795" s="10" t="str">
        <x:f>IF(F795="","",MAX(0,F795-E795))</x:f>
      </x:c>
      <x:c r="I795" s="24"/>
      <x:c r="J795" s="7"/>
      <x:c r="K795" s="8" t="str">
        <x:f>IF(A795="","",DATE(YEAR(A795),MONTH(A795),1))</x:f>
      </x:c>
    </x:row>
    <x:row r="796">
      <x:c r="A796" s="9"/>
      <x:c r="B796" s="7"/>
      <x:c r="C796" s="7" t="str">
        <x:f>IF(B796="","",XLOOKUP(B796,Employees!$A$4:$A$53,Employees!$B$4:$B$53,""))</x:f>
      </x:c>
      <x:c r="D796" s="7"/>
      <x:c r="E796" s="10" t="n">
        <x:v>8</x:v>
      </x:c>
      <x:c r="F796" s="10"/>
      <x:c r="G796" s="10" t="str">
        <x:f>IF(F796="","",MIN(F796,E796))</x:f>
      </x:c>
      <x:c r="H796" s="10" t="str">
        <x:f>IF(F796="","",MAX(0,F796-E796))</x:f>
      </x:c>
      <x:c r="I796" s="24"/>
      <x:c r="J796" s="7"/>
      <x:c r="K796" s="8" t="str">
        <x:f>IF(A796="","",DATE(YEAR(A796),MONTH(A796),1))</x:f>
      </x:c>
    </x:row>
    <x:row r="797">
      <x:c r="A797" s="9"/>
      <x:c r="B797" s="7"/>
      <x:c r="C797" s="7" t="str">
        <x:f>IF(B797="","",XLOOKUP(B797,Employees!$A$4:$A$53,Employees!$B$4:$B$53,""))</x:f>
      </x:c>
      <x:c r="D797" s="7"/>
      <x:c r="E797" s="10" t="n">
        <x:v>8</x:v>
      </x:c>
      <x:c r="F797" s="10"/>
      <x:c r="G797" s="10" t="str">
        <x:f>IF(F797="","",MIN(F797,E797))</x:f>
      </x:c>
      <x:c r="H797" s="10" t="str">
        <x:f>IF(F797="","",MAX(0,F797-E797))</x:f>
      </x:c>
      <x:c r="I797" s="24"/>
      <x:c r="J797" s="7"/>
      <x:c r="K797" s="8" t="str">
        <x:f>IF(A797="","",DATE(YEAR(A797),MONTH(A797),1))</x:f>
      </x:c>
    </x:row>
    <x:row r="798">
      <x:c r="A798" s="9"/>
      <x:c r="B798" s="7"/>
      <x:c r="C798" s="7" t="str">
        <x:f>IF(B798="","",XLOOKUP(B798,Employees!$A$4:$A$53,Employees!$B$4:$B$53,""))</x:f>
      </x:c>
      <x:c r="D798" s="7"/>
      <x:c r="E798" s="10" t="n">
        <x:v>8</x:v>
      </x:c>
      <x:c r="F798" s="10"/>
      <x:c r="G798" s="10" t="str">
        <x:f>IF(F798="","",MIN(F798,E798))</x:f>
      </x:c>
      <x:c r="H798" s="10" t="str">
        <x:f>IF(F798="","",MAX(0,F798-E798))</x:f>
      </x:c>
      <x:c r="I798" s="24"/>
      <x:c r="J798" s="7"/>
      <x:c r="K798" s="8" t="str">
        <x:f>IF(A798="","",DATE(YEAR(A798),MONTH(A798),1))</x:f>
      </x:c>
    </x:row>
    <x:row r="799">
      <x:c r="A799" s="9"/>
      <x:c r="B799" s="7"/>
      <x:c r="C799" s="7" t="str">
        <x:f>IF(B799="","",XLOOKUP(B799,Employees!$A$4:$A$53,Employees!$B$4:$B$53,""))</x:f>
      </x:c>
      <x:c r="D799" s="7"/>
      <x:c r="E799" s="10" t="n">
        <x:v>8</x:v>
      </x:c>
      <x:c r="F799" s="10"/>
      <x:c r="G799" s="10" t="str">
        <x:f>IF(F799="","",MIN(F799,E799))</x:f>
      </x:c>
      <x:c r="H799" s="10" t="str">
        <x:f>IF(F799="","",MAX(0,F799-E799))</x:f>
      </x:c>
      <x:c r="I799" s="24"/>
      <x:c r="J799" s="7"/>
      <x:c r="K799" s="8" t="str">
        <x:f>IF(A799="","",DATE(YEAR(A799),MONTH(A799),1))</x:f>
      </x:c>
    </x:row>
    <x:row r="800">
      <x:c r="A800" s="9"/>
      <x:c r="B800" s="7"/>
      <x:c r="C800" s="7" t="str">
        <x:f>IF(B800="","",XLOOKUP(B800,Employees!$A$4:$A$53,Employees!$B$4:$B$53,""))</x:f>
      </x:c>
      <x:c r="D800" s="7"/>
      <x:c r="E800" s="10" t="n">
        <x:v>8</x:v>
      </x:c>
      <x:c r="F800" s="10"/>
      <x:c r="G800" s="10" t="str">
        <x:f>IF(F800="","",MIN(F800,E800))</x:f>
      </x:c>
      <x:c r="H800" s="10" t="str">
        <x:f>IF(F800="","",MAX(0,F800-E800))</x:f>
      </x:c>
      <x:c r="I800" s="24"/>
      <x:c r="J800" s="7"/>
      <x:c r="K800" s="8" t="str">
        <x:f>IF(A800="","",DATE(YEAR(A800),MONTH(A800),1))</x:f>
      </x:c>
    </x:row>
    <x:row r="801">
      <x:c r="A801" s="9"/>
      <x:c r="B801" s="7"/>
      <x:c r="C801" s="7" t="str">
        <x:f>IF(B801="","",XLOOKUP(B801,Employees!$A$4:$A$53,Employees!$B$4:$B$53,""))</x:f>
      </x:c>
      <x:c r="D801" s="7"/>
      <x:c r="E801" s="10" t="n">
        <x:v>8</x:v>
      </x:c>
      <x:c r="F801" s="10"/>
      <x:c r="G801" s="10" t="str">
        <x:f>IF(F801="","",MIN(F801,E801))</x:f>
      </x:c>
      <x:c r="H801" s="10" t="str">
        <x:f>IF(F801="","",MAX(0,F801-E801))</x:f>
      </x:c>
      <x:c r="I801" s="24"/>
      <x:c r="J801" s="7"/>
      <x:c r="K801" s="8" t="str">
        <x:f>IF(A801="","",DATE(YEAR(A801),MONTH(A801),1))</x:f>
      </x:c>
    </x:row>
    <x:row r="802">
      <x:c r="A802" s="9"/>
      <x:c r="B802" s="7"/>
      <x:c r="C802" s="7" t="str">
        <x:f>IF(B802="","",XLOOKUP(B802,Employees!$A$4:$A$53,Employees!$B$4:$B$53,""))</x:f>
      </x:c>
      <x:c r="D802" s="7"/>
      <x:c r="E802" s="10" t="n">
        <x:v>8</x:v>
      </x:c>
      <x:c r="F802" s="10"/>
      <x:c r="G802" s="10" t="str">
        <x:f>IF(F802="","",MIN(F802,E802))</x:f>
      </x:c>
      <x:c r="H802" s="10" t="str">
        <x:f>IF(F802="","",MAX(0,F802-E802))</x:f>
      </x:c>
      <x:c r="I802" s="24"/>
      <x:c r="J802" s="7"/>
      <x:c r="K802" s="8" t="str">
        <x:f>IF(A802="","",DATE(YEAR(A802),MONTH(A802),1))</x:f>
      </x:c>
    </x:row>
    <x:row r="803">
      <x:c r="A803" s="9"/>
      <x:c r="B803" s="7"/>
      <x:c r="C803" s="7" t="str">
        <x:f>IF(B803="","",XLOOKUP(B803,Employees!$A$4:$A$53,Employees!$B$4:$B$53,""))</x:f>
      </x:c>
      <x:c r="D803" s="7"/>
      <x:c r="E803" s="10" t="n">
        <x:v>8</x:v>
      </x:c>
      <x:c r="F803" s="10"/>
      <x:c r="G803" s="10" t="str">
        <x:f>IF(F803="","",MIN(F803,E803))</x:f>
      </x:c>
      <x:c r="H803" s="10" t="str">
        <x:f>IF(F803="","",MAX(0,F803-E803))</x:f>
      </x:c>
      <x:c r="I803" s="24"/>
      <x:c r="J803" s="7"/>
      <x:c r="K803" s="8" t="str">
        <x:f>IF(A803="","",DATE(YEAR(A803),MONTH(A803),1))</x:f>
      </x:c>
    </x:row>
    <x:row r="804">
      <x:c r="A804" s="9"/>
      <x:c r="B804" s="7"/>
      <x:c r="C804" s="7" t="str">
        <x:f>IF(B804="","",XLOOKUP(B804,Employees!$A$4:$A$53,Employees!$B$4:$B$53,""))</x:f>
      </x:c>
      <x:c r="D804" s="7"/>
      <x:c r="E804" s="10" t="n">
        <x:v>8</x:v>
      </x:c>
      <x:c r="F804" s="10"/>
      <x:c r="G804" s="10" t="str">
        <x:f>IF(F804="","",MIN(F804,E804))</x:f>
      </x:c>
      <x:c r="H804" s="10" t="str">
        <x:f>IF(F804="","",MAX(0,F804-E804))</x:f>
      </x:c>
      <x:c r="I804" s="24"/>
      <x:c r="J804" s="7"/>
      <x:c r="K804" s="8" t="str">
        <x:f>IF(A804="","",DATE(YEAR(A804),MONTH(A804),1))</x:f>
      </x:c>
    </x:row>
    <x:row r="805">
      <x:c r="A805" s="9"/>
      <x:c r="B805" s="7"/>
      <x:c r="C805" s="7" t="str">
        <x:f>IF(B805="","",XLOOKUP(B805,Employees!$A$4:$A$53,Employees!$B$4:$B$53,""))</x:f>
      </x:c>
      <x:c r="D805" s="7"/>
      <x:c r="E805" s="10" t="n">
        <x:v>8</x:v>
      </x:c>
      <x:c r="F805" s="10"/>
      <x:c r="G805" s="10" t="str">
        <x:f>IF(F805="","",MIN(F805,E805))</x:f>
      </x:c>
      <x:c r="H805" s="10" t="str">
        <x:f>IF(F805="","",MAX(0,F805-E805))</x:f>
      </x:c>
      <x:c r="I805" s="24"/>
      <x:c r="J805" s="7"/>
      <x:c r="K805" s="8" t="str">
        <x:f>IF(A805="","",DATE(YEAR(A805),MONTH(A805),1))</x:f>
      </x:c>
    </x:row>
    <x:row r="806">
      <x:c r="A806" s="9"/>
      <x:c r="B806" s="7"/>
      <x:c r="C806" s="7" t="str">
        <x:f>IF(B806="","",XLOOKUP(B806,Employees!$A$4:$A$53,Employees!$B$4:$B$53,""))</x:f>
      </x:c>
      <x:c r="D806" s="7"/>
      <x:c r="E806" s="10" t="n">
        <x:v>8</x:v>
      </x:c>
      <x:c r="F806" s="10"/>
      <x:c r="G806" s="10" t="str">
        <x:f>IF(F806="","",MIN(F806,E806))</x:f>
      </x:c>
      <x:c r="H806" s="10" t="str">
        <x:f>IF(F806="","",MAX(0,F806-E806))</x:f>
      </x:c>
      <x:c r="I806" s="24"/>
      <x:c r="J806" s="7"/>
      <x:c r="K806" s="8" t="str">
        <x:f>IF(A806="","",DATE(YEAR(A806),MONTH(A806),1))</x:f>
      </x:c>
    </x:row>
    <x:row r="807">
      <x:c r="A807" s="9"/>
      <x:c r="B807" s="7"/>
      <x:c r="C807" s="7" t="str">
        <x:f>IF(B807="","",XLOOKUP(B807,Employees!$A$4:$A$53,Employees!$B$4:$B$53,""))</x:f>
      </x:c>
      <x:c r="D807" s="7"/>
      <x:c r="E807" s="10" t="n">
        <x:v>8</x:v>
      </x:c>
      <x:c r="F807" s="10"/>
      <x:c r="G807" s="10" t="str">
        <x:f>IF(F807="","",MIN(F807,E807))</x:f>
      </x:c>
      <x:c r="H807" s="10" t="str">
        <x:f>IF(F807="","",MAX(0,F807-E807))</x:f>
      </x:c>
      <x:c r="I807" s="24"/>
      <x:c r="J807" s="7"/>
      <x:c r="K807" s="8" t="str">
        <x:f>IF(A807="","",DATE(YEAR(A807),MONTH(A807),1))</x:f>
      </x:c>
    </x:row>
    <x:row r="808">
      <x:c r="A808" s="9"/>
      <x:c r="B808" s="7"/>
      <x:c r="C808" s="7" t="str">
        <x:f>IF(B808="","",XLOOKUP(B808,Employees!$A$4:$A$53,Employees!$B$4:$B$53,""))</x:f>
      </x:c>
      <x:c r="D808" s="7"/>
      <x:c r="E808" s="10" t="n">
        <x:v>8</x:v>
      </x:c>
      <x:c r="F808" s="10"/>
      <x:c r="G808" s="10" t="str">
        <x:f>IF(F808="","",MIN(F808,E808))</x:f>
      </x:c>
      <x:c r="H808" s="10" t="str">
        <x:f>IF(F808="","",MAX(0,F808-E808))</x:f>
      </x:c>
      <x:c r="I808" s="24"/>
      <x:c r="J808" s="7"/>
      <x:c r="K808" s="8" t="str">
        <x:f>IF(A808="","",DATE(YEAR(A808),MONTH(A808),1))</x:f>
      </x:c>
    </x:row>
    <x:row r="809">
      <x:c r="A809" s="9"/>
      <x:c r="B809" s="7"/>
      <x:c r="C809" s="7" t="str">
        <x:f>IF(B809="","",XLOOKUP(B809,Employees!$A$4:$A$53,Employees!$B$4:$B$53,""))</x:f>
      </x:c>
      <x:c r="D809" s="7"/>
      <x:c r="E809" s="10" t="n">
        <x:v>8</x:v>
      </x:c>
      <x:c r="F809" s="10"/>
      <x:c r="G809" s="10" t="str">
        <x:f>IF(F809="","",MIN(F809,E809))</x:f>
      </x:c>
      <x:c r="H809" s="10" t="str">
        <x:f>IF(F809="","",MAX(0,F809-E809))</x:f>
      </x:c>
      <x:c r="I809" s="24"/>
      <x:c r="J809" s="7"/>
      <x:c r="K809" s="8" t="str">
        <x:f>IF(A809="","",DATE(YEAR(A809),MONTH(A809),1))</x:f>
      </x:c>
    </x:row>
    <x:row r="810">
      <x:c r="A810" s="9"/>
      <x:c r="B810" s="7"/>
      <x:c r="C810" s="7" t="str">
        <x:f>IF(B810="","",XLOOKUP(B810,Employees!$A$4:$A$53,Employees!$B$4:$B$53,""))</x:f>
      </x:c>
      <x:c r="D810" s="7"/>
      <x:c r="E810" s="10" t="n">
        <x:v>8</x:v>
      </x:c>
      <x:c r="F810" s="10"/>
      <x:c r="G810" s="10" t="str">
        <x:f>IF(F810="","",MIN(F810,E810))</x:f>
      </x:c>
      <x:c r="H810" s="10" t="str">
        <x:f>IF(F810="","",MAX(0,F810-E810))</x:f>
      </x:c>
      <x:c r="I810" s="24"/>
      <x:c r="J810" s="7"/>
      <x:c r="K810" s="8" t="str">
        <x:f>IF(A810="","",DATE(YEAR(A810),MONTH(A810),1))</x:f>
      </x:c>
    </x:row>
    <x:row r="811">
      <x:c r="A811" s="9"/>
      <x:c r="B811" s="7"/>
      <x:c r="C811" s="7" t="str">
        <x:f>IF(B811="","",XLOOKUP(B811,Employees!$A$4:$A$53,Employees!$B$4:$B$53,""))</x:f>
      </x:c>
      <x:c r="D811" s="7"/>
      <x:c r="E811" s="10" t="n">
        <x:v>8</x:v>
      </x:c>
      <x:c r="F811" s="10"/>
      <x:c r="G811" s="10" t="str">
        <x:f>IF(F811="","",MIN(F811,E811))</x:f>
      </x:c>
      <x:c r="H811" s="10" t="str">
        <x:f>IF(F811="","",MAX(0,F811-E811))</x:f>
      </x:c>
      <x:c r="I811" s="24"/>
      <x:c r="J811" s="7"/>
      <x:c r="K811" s="8" t="str">
        <x:f>IF(A811="","",DATE(YEAR(A811),MONTH(A811),1))</x:f>
      </x:c>
    </x:row>
    <x:row r="812">
      <x:c r="A812" s="9"/>
      <x:c r="B812" s="7"/>
      <x:c r="C812" s="7" t="str">
        <x:f>IF(B812="","",XLOOKUP(B812,Employees!$A$4:$A$53,Employees!$B$4:$B$53,""))</x:f>
      </x:c>
      <x:c r="D812" s="7"/>
      <x:c r="E812" s="10" t="n">
        <x:v>8</x:v>
      </x:c>
      <x:c r="F812" s="10"/>
      <x:c r="G812" s="10" t="str">
        <x:f>IF(F812="","",MIN(F812,E812))</x:f>
      </x:c>
      <x:c r="H812" s="10" t="str">
        <x:f>IF(F812="","",MAX(0,F812-E812))</x:f>
      </x:c>
      <x:c r="I812" s="24"/>
      <x:c r="J812" s="7"/>
      <x:c r="K812" s="8" t="str">
        <x:f>IF(A812="","",DATE(YEAR(A812),MONTH(A812),1))</x:f>
      </x:c>
    </x:row>
    <x:row r="813">
      <x:c r="A813" s="9"/>
      <x:c r="B813" s="7"/>
      <x:c r="C813" s="7" t="str">
        <x:f>IF(B813="","",XLOOKUP(B813,Employees!$A$4:$A$53,Employees!$B$4:$B$53,""))</x:f>
      </x:c>
      <x:c r="D813" s="7"/>
      <x:c r="E813" s="10" t="n">
        <x:v>8</x:v>
      </x:c>
      <x:c r="F813" s="10"/>
      <x:c r="G813" s="10" t="str">
        <x:f>IF(F813="","",MIN(F813,E813))</x:f>
      </x:c>
      <x:c r="H813" s="10" t="str">
        <x:f>IF(F813="","",MAX(0,F813-E813))</x:f>
      </x:c>
      <x:c r="I813" s="24"/>
      <x:c r="J813" s="7"/>
      <x:c r="K813" s="8" t="str">
        <x:f>IF(A813="","",DATE(YEAR(A813),MONTH(A813),1))</x:f>
      </x:c>
    </x:row>
    <x:row r="814">
      <x:c r="A814" s="9"/>
      <x:c r="B814" s="7"/>
      <x:c r="C814" s="7" t="str">
        <x:f>IF(B814="","",XLOOKUP(B814,Employees!$A$4:$A$53,Employees!$B$4:$B$53,""))</x:f>
      </x:c>
      <x:c r="D814" s="7"/>
      <x:c r="E814" s="10" t="n">
        <x:v>8</x:v>
      </x:c>
      <x:c r="F814" s="10"/>
      <x:c r="G814" s="10" t="str">
        <x:f>IF(F814="","",MIN(F814,E814))</x:f>
      </x:c>
      <x:c r="H814" s="10" t="str">
        <x:f>IF(F814="","",MAX(0,F814-E814))</x:f>
      </x:c>
      <x:c r="I814" s="24"/>
      <x:c r="J814" s="7"/>
      <x:c r="K814" s="8" t="str">
        <x:f>IF(A814="","",DATE(YEAR(A814),MONTH(A814),1))</x:f>
      </x:c>
    </x:row>
    <x:row r="815">
      <x:c r="A815" s="9"/>
      <x:c r="B815" s="7"/>
      <x:c r="C815" s="7" t="str">
        <x:f>IF(B815="","",XLOOKUP(B815,Employees!$A$4:$A$53,Employees!$B$4:$B$53,""))</x:f>
      </x:c>
      <x:c r="D815" s="7"/>
      <x:c r="E815" s="10" t="n">
        <x:v>8</x:v>
      </x:c>
      <x:c r="F815" s="10"/>
      <x:c r="G815" s="10" t="str">
        <x:f>IF(F815="","",MIN(F815,E815))</x:f>
      </x:c>
      <x:c r="H815" s="10" t="str">
        <x:f>IF(F815="","",MAX(0,F815-E815))</x:f>
      </x:c>
      <x:c r="I815" s="24"/>
      <x:c r="J815" s="7"/>
      <x:c r="K815" s="8" t="str">
        <x:f>IF(A815="","",DATE(YEAR(A815),MONTH(A815),1))</x:f>
      </x:c>
    </x:row>
    <x:row r="816">
      <x:c r="A816" s="9"/>
      <x:c r="B816" s="7"/>
      <x:c r="C816" s="7" t="str">
        <x:f>IF(B816="","",XLOOKUP(B816,Employees!$A$4:$A$53,Employees!$B$4:$B$53,""))</x:f>
      </x:c>
      <x:c r="D816" s="7"/>
      <x:c r="E816" s="10" t="n">
        <x:v>8</x:v>
      </x:c>
      <x:c r="F816" s="10"/>
      <x:c r="G816" s="10" t="str">
        <x:f>IF(F816="","",MIN(F816,E816))</x:f>
      </x:c>
      <x:c r="H816" s="10" t="str">
        <x:f>IF(F816="","",MAX(0,F816-E816))</x:f>
      </x:c>
      <x:c r="I816" s="24"/>
      <x:c r="J816" s="7"/>
      <x:c r="K816" s="8" t="str">
        <x:f>IF(A816="","",DATE(YEAR(A816),MONTH(A816),1))</x:f>
      </x:c>
    </x:row>
    <x:row r="817">
      <x:c r="A817" s="9"/>
      <x:c r="B817" s="7"/>
      <x:c r="C817" s="7" t="str">
        <x:f>IF(B817="","",XLOOKUP(B817,Employees!$A$4:$A$53,Employees!$B$4:$B$53,""))</x:f>
      </x:c>
      <x:c r="D817" s="7"/>
      <x:c r="E817" s="10" t="n">
        <x:v>8</x:v>
      </x:c>
      <x:c r="F817" s="10"/>
      <x:c r="G817" s="10" t="str">
        <x:f>IF(F817="","",MIN(F817,E817))</x:f>
      </x:c>
      <x:c r="H817" s="10" t="str">
        <x:f>IF(F817="","",MAX(0,F817-E817))</x:f>
      </x:c>
      <x:c r="I817" s="24"/>
      <x:c r="J817" s="7"/>
      <x:c r="K817" s="8" t="str">
        <x:f>IF(A817="","",DATE(YEAR(A817),MONTH(A817),1))</x:f>
      </x:c>
    </x:row>
    <x:row r="818">
      <x:c r="A818" s="9"/>
      <x:c r="B818" s="7"/>
      <x:c r="C818" s="7" t="str">
        <x:f>IF(B818="","",XLOOKUP(B818,Employees!$A$4:$A$53,Employees!$B$4:$B$53,""))</x:f>
      </x:c>
      <x:c r="D818" s="7"/>
      <x:c r="E818" s="10" t="n">
        <x:v>8</x:v>
      </x:c>
      <x:c r="F818" s="10"/>
      <x:c r="G818" s="10" t="str">
        <x:f>IF(F818="","",MIN(F818,E818))</x:f>
      </x:c>
      <x:c r="H818" s="10" t="str">
        <x:f>IF(F818="","",MAX(0,F818-E818))</x:f>
      </x:c>
      <x:c r="I818" s="24"/>
      <x:c r="J818" s="7"/>
      <x:c r="K818" s="8" t="str">
        <x:f>IF(A818="","",DATE(YEAR(A818),MONTH(A818),1))</x:f>
      </x:c>
    </x:row>
    <x:row r="819">
      <x:c r="A819" s="9"/>
      <x:c r="B819" s="7"/>
      <x:c r="C819" s="7" t="str">
        <x:f>IF(B819="","",XLOOKUP(B819,Employees!$A$4:$A$53,Employees!$B$4:$B$53,""))</x:f>
      </x:c>
      <x:c r="D819" s="7"/>
      <x:c r="E819" s="10" t="n">
        <x:v>8</x:v>
      </x:c>
      <x:c r="F819" s="10"/>
      <x:c r="G819" s="10" t="str">
        <x:f>IF(F819="","",MIN(F819,E819))</x:f>
      </x:c>
      <x:c r="H819" s="10" t="str">
        <x:f>IF(F819="","",MAX(0,F819-E819))</x:f>
      </x:c>
      <x:c r="I819" s="24"/>
      <x:c r="J819" s="7"/>
      <x:c r="K819" s="8" t="str">
        <x:f>IF(A819="","",DATE(YEAR(A819),MONTH(A819),1))</x:f>
      </x:c>
    </x:row>
    <x:row r="820">
      <x:c r="A820" s="9"/>
      <x:c r="B820" s="7"/>
      <x:c r="C820" s="7" t="str">
        <x:f>IF(B820="","",XLOOKUP(B820,Employees!$A$4:$A$53,Employees!$B$4:$B$53,""))</x:f>
      </x:c>
      <x:c r="D820" s="7"/>
      <x:c r="E820" s="10" t="n">
        <x:v>8</x:v>
      </x:c>
      <x:c r="F820" s="10"/>
      <x:c r="G820" s="10" t="str">
        <x:f>IF(F820="","",MIN(F820,E820))</x:f>
      </x:c>
      <x:c r="H820" s="10" t="str">
        <x:f>IF(F820="","",MAX(0,F820-E820))</x:f>
      </x:c>
      <x:c r="I820" s="24"/>
      <x:c r="J820" s="7"/>
      <x:c r="K820" s="8" t="str">
        <x:f>IF(A820="","",DATE(YEAR(A820),MONTH(A820),1))</x:f>
      </x:c>
    </x:row>
    <x:row r="821">
      <x:c r="A821" s="9"/>
      <x:c r="B821" s="7"/>
      <x:c r="C821" s="7" t="str">
        <x:f>IF(B821="","",XLOOKUP(B821,Employees!$A$4:$A$53,Employees!$B$4:$B$53,""))</x:f>
      </x:c>
      <x:c r="D821" s="7"/>
      <x:c r="E821" s="10" t="n">
        <x:v>8</x:v>
      </x:c>
      <x:c r="F821" s="10"/>
      <x:c r="G821" s="10" t="str">
        <x:f>IF(F821="","",MIN(F821,E821))</x:f>
      </x:c>
      <x:c r="H821" s="10" t="str">
        <x:f>IF(F821="","",MAX(0,F821-E821))</x:f>
      </x:c>
      <x:c r="I821" s="24"/>
      <x:c r="J821" s="7"/>
      <x:c r="K821" s="8" t="str">
        <x:f>IF(A821="","",DATE(YEAR(A821),MONTH(A821),1))</x:f>
      </x:c>
    </x:row>
    <x:row r="822">
      <x:c r="A822" s="9"/>
      <x:c r="B822" s="7"/>
      <x:c r="C822" s="7" t="str">
        <x:f>IF(B822="","",XLOOKUP(B822,Employees!$A$4:$A$53,Employees!$B$4:$B$53,""))</x:f>
      </x:c>
      <x:c r="D822" s="7"/>
      <x:c r="E822" s="10" t="n">
        <x:v>8</x:v>
      </x:c>
      <x:c r="F822" s="10"/>
      <x:c r="G822" s="10" t="str">
        <x:f>IF(F822="","",MIN(F822,E822))</x:f>
      </x:c>
      <x:c r="H822" s="10" t="str">
        <x:f>IF(F822="","",MAX(0,F822-E822))</x:f>
      </x:c>
      <x:c r="I822" s="24"/>
      <x:c r="J822" s="7"/>
      <x:c r="K822" s="8" t="str">
        <x:f>IF(A822="","",DATE(YEAR(A822),MONTH(A822),1))</x:f>
      </x:c>
    </x:row>
    <x:row r="823">
      <x:c r="A823" s="9"/>
      <x:c r="B823" s="7"/>
      <x:c r="C823" s="7" t="str">
        <x:f>IF(B823="","",XLOOKUP(B823,Employees!$A$4:$A$53,Employees!$B$4:$B$53,""))</x:f>
      </x:c>
      <x:c r="D823" s="7"/>
      <x:c r="E823" s="10" t="n">
        <x:v>8</x:v>
      </x:c>
      <x:c r="F823" s="10"/>
      <x:c r="G823" s="10" t="str">
        <x:f>IF(F823="","",MIN(F823,E823))</x:f>
      </x:c>
      <x:c r="H823" s="10" t="str">
        <x:f>IF(F823="","",MAX(0,F823-E823))</x:f>
      </x:c>
      <x:c r="I823" s="24"/>
      <x:c r="J823" s="7"/>
      <x:c r="K823" s="8" t="str">
        <x:f>IF(A823="","",DATE(YEAR(A823),MONTH(A823),1))</x:f>
      </x:c>
    </x:row>
    <x:row r="824">
      <x:c r="A824" s="9"/>
      <x:c r="B824" s="7"/>
      <x:c r="C824" s="7" t="str">
        <x:f>IF(B824="","",XLOOKUP(B824,Employees!$A$4:$A$53,Employees!$B$4:$B$53,""))</x:f>
      </x:c>
      <x:c r="D824" s="7"/>
      <x:c r="E824" s="10" t="n">
        <x:v>8</x:v>
      </x:c>
      <x:c r="F824" s="10"/>
      <x:c r="G824" s="10" t="str">
        <x:f>IF(F824="","",MIN(F824,E824))</x:f>
      </x:c>
      <x:c r="H824" s="10" t="str">
        <x:f>IF(F824="","",MAX(0,F824-E824))</x:f>
      </x:c>
      <x:c r="I824" s="24"/>
      <x:c r="J824" s="7"/>
      <x:c r="K824" s="8" t="str">
        <x:f>IF(A824="","",DATE(YEAR(A824),MONTH(A824),1))</x:f>
      </x:c>
    </x:row>
    <x:row r="825">
      <x:c r="A825" s="9"/>
      <x:c r="B825" s="7"/>
      <x:c r="C825" s="7" t="str">
        <x:f>IF(B825="","",XLOOKUP(B825,Employees!$A$4:$A$53,Employees!$B$4:$B$53,""))</x:f>
      </x:c>
      <x:c r="D825" s="7"/>
      <x:c r="E825" s="10" t="n">
        <x:v>8</x:v>
      </x:c>
      <x:c r="F825" s="10"/>
      <x:c r="G825" s="10" t="str">
        <x:f>IF(F825="","",MIN(F825,E825))</x:f>
      </x:c>
      <x:c r="H825" s="10" t="str">
        <x:f>IF(F825="","",MAX(0,F825-E825))</x:f>
      </x:c>
      <x:c r="I825" s="24"/>
      <x:c r="J825" s="7"/>
      <x:c r="K825" s="8" t="str">
        <x:f>IF(A825="","",DATE(YEAR(A825),MONTH(A825),1))</x:f>
      </x:c>
    </x:row>
    <x:row r="826">
      <x:c r="A826" s="9"/>
      <x:c r="B826" s="7"/>
      <x:c r="C826" s="7" t="str">
        <x:f>IF(B826="","",XLOOKUP(B826,Employees!$A$4:$A$53,Employees!$B$4:$B$53,""))</x:f>
      </x:c>
      <x:c r="D826" s="7"/>
      <x:c r="E826" s="10" t="n">
        <x:v>8</x:v>
      </x:c>
      <x:c r="F826" s="10"/>
      <x:c r="G826" s="10" t="str">
        <x:f>IF(F826="","",MIN(F826,E826))</x:f>
      </x:c>
      <x:c r="H826" s="10" t="str">
        <x:f>IF(F826="","",MAX(0,F826-E826))</x:f>
      </x:c>
      <x:c r="I826" s="24"/>
      <x:c r="J826" s="7"/>
      <x:c r="K826" s="8" t="str">
        <x:f>IF(A826="","",DATE(YEAR(A826),MONTH(A826),1))</x:f>
      </x:c>
    </x:row>
    <x:row r="827">
      <x:c r="A827" s="9"/>
      <x:c r="B827" s="7"/>
      <x:c r="C827" s="7" t="str">
        <x:f>IF(B827="","",XLOOKUP(B827,Employees!$A$4:$A$53,Employees!$B$4:$B$53,""))</x:f>
      </x:c>
      <x:c r="D827" s="7"/>
      <x:c r="E827" s="10" t="n">
        <x:v>8</x:v>
      </x:c>
      <x:c r="F827" s="10"/>
      <x:c r="G827" s="10" t="str">
        <x:f>IF(F827="","",MIN(F827,E827))</x:f>
      </x:c>
      <x:c r="H827" s="10" t="str">
        <x:f>IF(F827="","",MAX(0,F827-E827))</x:f>
      </x:c>
      <x:c r="I827" s="24"/>
      <x:c r="J827" s="7"/>
      <x:c r="K827" s="8" t="str">
        <x:f>IF(A827="","",DATE(YEAR(A827),MONTH(A827),1))</x:f>
      </x:c>
    </x:row>
    <x:row r="828">
      <x:c r="A828" s="9"/>
      <x:c r="B828" s="7"/>
      <x:c r="C828" s="7" t="str">
        <x:f>IF(B828="","",XLOOKUP(B828,Employees!$A$4:$A$53,Employees!$B$4:$B$53,""))</x:f>
      </x:c>
      <x:c r="D828" s="7"/>
      <x:c r="E828" s="10" t="n">
        <x:v>8</x:v>
      </x:c>
      <x:c r="F828" s="10"/>
      <x:c r="G828" s="10" t="str">
        <x:f>IF(F828="","",MIN(F828,E828))</x:f>
      </x:c>
      <x:c r="H828" s="10" t="str">
        <x:f>IF(F828="","",MAX(0,F828-E828))</x:f>
      </x:c>
      <x:c r="I828" s="24"/>
      <x:c r="J828" s="7"/>
      <x:c r="K828" s="8" t="str">
        <x:f>IF(A828="","",DATE(YEAR(A828),MONTH(A828),1))</x:f>
      </x:c>
    </x:row>
    <x:row r="829">
      <x:c r="A829" s="9"/>
      <x:c r="B829" s="7"/>
      <x:c r="C829" s="7" t="str">
        <x:f>IF(B829="","",XLOOKUP(B829,Employees!$A$4:$A$53,Employees!$B$4:$B$53,""))</x:f>
      </x:c>
      <x:c r="D829" s="7"/>
      <x:c r="E829" s="10" t="n">
        <x:v>8</x:v>
      </x:c>
      <x:c r="F829" s="10"/>
      <x:c r="G829" s="10" t="str">
        <x:f>IF(F829="","",MIN(F829,E829))</x:f>
      </x:c>
      <x:c r="H829" s="10" t="str">
        <x:f>IF(F829="","",MAX(0,F829-E829))</x:f>
      </x:c>
      <x:c r="I829" s="24"/>
      <x:c r="J829" s="7"/>
      <x:c r="K829" s="8" t="str">
        <x:f>IF(A829="","",DATE(YEAR(A829),MONTH(A829),1))</x:f>
      </x:c>
    </x:row>
    <x:row r="830">
      <x:c r="A830" s="9"/>
      <x:c r="B830" s="7"/>
      <x:c r="C830" s="7" t="str">
        <x:f>IF(B830="","",XLOOKUP(B830,Employees!$A$4:$A$53,Employees!$B$4:$B$53,""))</x:f>
      </x:c>
      <x:c r="D830" s="7"/>
      <x:c r="E830" s="10" t="n">
        <x:v>8</x:v>
      </x:c>
      <x:c r="F830" s="10"/>
      <x:c r="G830" s="10" t="str">
        <x:f>IF(F830="","",MIN(F830,E830))</x:f>
      </x:c>
      <x:c r="H830" s="10" t="str">
        <x:f>IF(F830="","",MAX(0,F830-E830))</x:f>
      </x:c>
      <x:c r="I830" s="24"/>
      <x:c r="J830" s="7"/>
      <x:c r="K830" s="8" t="str">
        <x:f>IF(A830="","",DATE(YEAR(A830),MONTH(A830),1))</x:f>
      </x:c>
    </x:row>
    <x:row r="831">
      <x:c r="A831" s="9"/>
      <x:c r="B831" s="7"/>
      <x:c r="C831" s="7" t="str">
        <x:f>IF(B831="","",XLOOKUP(B831,Employees!$A$4:$A$53,Employees!$B$4:$B$53,""))</x:f>
      </x:c>
      <x:c r="D831" s="7"/>
      <x:c r="E831" s="10" t="n">
        <x:v>8</x:v>
      </x:c>
      <x:c r="F831" s="10"/>
      <x:c r="G831" s="10" t="str">
        <x:f>IF(F831="","",MIN(F831,E831))</x:f>
      </x:c>
      <x:c r="H831" s="10" t="str">
        <x:f>IF(F831="","",MAX(0,F831-E831))</x:f>
      </x:c>
      <x:c r="I831" s="24"/>
      <x:c r="J831" s="7"/>
      <x:c r="K831" s="8" t="str">
        <x:f>IF(A831="","",DATE(YEAR(A831),MONTH(A831),1))</x:f>
      </x:c>
    </x:row>
    <x:row r="832">
      <x:c r="A832" s="9"/>
      <x:c r="B832" s="7"/>
      <x:c r="C832" s="7" t="str">
        <x:f>IF(B832="","",XLOOKUP(B832,Employees!$A$4:$A$53,Employees!$B$4:$B$53,""))</x:f>
      </x:c>
      <x:c r="D832" s="7"/>
      <x:c r="E832" s="10" t="n">
        <x:v>8</x:v>
      </x:c>
      <x:c r="F832" s="10"/>
      <x:c r="G832" s="10" t="str">
        <x:f>IF(F832="","",MIN(F832,E832))</x:f>
      </x:c>
      <x:c r="H832" s="10" t="str">
        <x:f>IF(F832="","",MAX(0,F832-E832))</x:f>
      </x:c>
      <x:c r="I832" s="24"/>
      <x:c r="J832" s="7"/>
      <x:c r="K832" s="8" t="str">
        <x:f>IF(A832="","",DATE(YEAR(A832),MONTH(A832),1))</x:f>
      </x:c>
    </x:row>
    <x:row r="833">
      <x:c r="A833" s="9"/>
      <x:c r="B833" s="7"/>
      <x:c r="C833" s="7" t="str">
        <x:f>IF(B833="","",XLOOKUP(B833,Employees!$A$4:$A$53,Employees!$B$4:$B$53,""))</x:f>
      </x:c>
      <x:c r="D833" s="7"/>
      <x:c r="E833" s="10" t="n">
        <x:v>8</x:v>
      </x:c>
      <x:c r="F833" s="10"/>
      <x:c r="G833" s="10" t="str">
        <x:f>IF(F833="","",MIN(F833,E833))</x:f>
      </x:c>
      <x:c r="H833" s="10" t="str">
        <x:f>IF(F833="","",MAX(0,F833-E833))</x:f>
      </x:c>
      <x:c r="I833" s="24"/>
      <x:c r="J833" s="7"/>
      <x:c r="K833" s="8" t="str">
        <x:f>IF(A833="","",DATE(YEAR(A833),MONTH(A833),1))</x:f>
      </x:c>
    </x:row>
    <x:row r="834">
      <x:c r="A834" s="9"/>
      <x:c r="B834" s="7"/>
      <x:c r="C834" s="7" t="str">
        <x:f>IF(B834="","",XLOOKUP(B834,Employees!$A$4:$A$53,Employees!$B$4:$B$53,""))</x:f>
      </x:c>
      <x:c r="D834" s="7"/>
      <x:c r="E834" s="10" t="n">
        <x:v>8</x:v>
      </x:c>
      <x:c r="F834" s="10"/>
      <x:c r="G834" s="10" t="str">
        <x:f>IF(F834="","",MIN(F834,E834))</x:f>
      </x:c>
      <x:c r="H834" s="10" t="str">
        <x:f>IF(F834="","",MAX(0,F834-E834))</x:f>
      </x:c>
      <x:c r="I834" s="24"/>
      <x:c r="J834" s="7"/>
      <x:c r="K834" s="8" t="str">
        <x:f>IF(A834="","",DATE(YEAR(A834),MONTH(A834),1))</x:f>
      </x:c>
    </x:row>
    <x:row r="835">
      <x:c r="A835" s="9"/>
      <x:c r="B835" s="7"/>
      <x:c r="C835" s="7" t="str">
        <x:f>IF(B835="","",XLOOKUP(B835,Employees!$A$4:$A$53,Employees!$B$4:$B$53,""))</x:f>
      </x:c>
      <x:c r="D835" s="7"/>
      <x:c r="E835" s="10" t="n">
        <x:v>8</x:v>
      </x:c>
      <x:c r="F835" s="10"/>
      <x:c r="G835" s="10" t="str">
        <x:f>IF(F835="","",MIN(F835,E835))</x:f>
      </x:c>
      <x:c r="H835" s="10" t="str">
        <x:f>IF(F835="","",MAX(0,F835-E835))</x:f>
      </x:c>
      <x:c r="I835" s="24"/>
      <x:c r="J835" s="7"/>
      <x:c r="K835" s="8" t="str">
        <x:f>IF(A835="","",DATE(YEAR(A835),MONTH(A835),1))</x:f>
      </x:c>
    </x:row>
    <x:row r="836">
      <x:c r="A836" s="9"/>
      <x:c r="B836" s="7"/>
      <x:c r="C836" s="7" t="str">
        <x:f>IF(B836="","",XLOOKUP(B836,Employees!$A$4:$A$53,Employees!$B$4:$B$53,""))</x:f>
      </x:c>
      <x:c r="D836" s="7"/>
      <x:c r="E836" s="10" t="n">
        <x:v>8</x:v>
      </x:c>
      <x:c r="F836" s="10"/>
      <x:c r="G836" s="10" t="str">
        <x:f>IF(F836="","",MIN(F836,E836))</x:f>
      </x:c>
      <x:c r="H836" s="10" t="str">
        <x:f>IF(F836="","",MAX(0,F836-E836))</x:f>
      </x:c>
      <x:c r="I836" s="24"/>
      <x:c r="J836" s="7"/>
      <x:c r="K836" s="8" t="str">
        <x:f>IF(A836="","",DATE(YEAR(A836),MONTH(A836),1))</x:f>
      </x:c>
    </x:row>
    <x:row r="837">
      <x:c r="A837" s="9"/>
      <x:c r="B837" s="7"/>
      <x:c r="C837" s="7" t="str">
        <x:f>IF(B837="","",XLOOKUP(B837,Employees!$A$4:$A$53,Employees!$B$4:$B$53,""))</x:f>
      </x:c>
      <x:c r="D837" s="7"/>
      <x:c r="E837" s="10" t="n">
        <x:v>8</x:v>
      </x:c>
      <x:c r="F837" s="10"/>
      <x:c r="G837" s="10" t="str">
        <x:f>IF(F837="","",MIN(F837,E837))</x:f>
      </x:c>
      <x:c r="H837" s="10" t="str">
        <x:f>IF(F837="","",MAX(0,F837-E837))</x:f>
      </x:c>
      <x:c r="I837" s="24"/>
      <x:c r="J837" s="7"/>
      <x:c r="K837" s="8" t="str">
        <x:f>IF(A837="","",DATE(YEAR(A837),MONTH(A837),1))</x:f>
      </x:c>
    </x:row>
    <x:row r="838">
      <x:c r="A838" s="9"/>
      <x:c r="B838" s="7"/>
      <x:c r="C838" s="7" t="str">
        <x:f>IF(B838="","",XLOOKUP(B838,Employees!$A$4:$A$53,Employees!$B$4:$B$53,""))</x:f>
      </x:c>
      <x:c r="D838" s="7"/>
      <x:c r="E838" s="10" t="n">
        <x:v>8</x:v>
      </x:c>
      <x:c r="F838" s="10"/>
      <x:c r="G838" s="10" t="str">
        <x:f>IF(F838="","",MIN(F838,E838))</x:f>
      </x:c>
      <x:c r="H838" s="10" t="str">
        <x:f>IF(F838="","",MAX(0,F838-E838))</x:f>
      </x:c>
      <x:c r="I838" s="24"/>
      <x:c r="J838" s="7"/>
      <x:c r="K838" s="8" t="str">
        <x:f>IF(A838="","",DATE(YEAR(A838),MONTH(A838),1))</x:f>
      </x:c>
    </x:row>
    <x:row r="839">
      <x:c r="A839" s="9"/>
      <x:c r="B839" s="7"/>
      <x:c r="C839" s="7" t="str">
        <x:f>IF(B839="","",XLOOKUP(B839,Employees!$A$4:$A$53,Employees!$B$4:$B$53,""))</x:f>
      </x:c>
      <x:c r="D839" s="7"/>
      <x:c r="E839" s="10" t="n">
        <x:v>8</x:v>
      </x:c>
      <x:c r="F839" s="10"/>
      <x:c r="G839" s="10" t="str">
        <x:f>IF(F839="","",MIN(F839,E839))</x:f>
      </x:c>
      <x:c r="H839" s="10" t="str">
        <x:f>IF(F839="","",MAX(0,F839-E839))</x:f>
      </x:c>
      <x:c r="I839" s="24"/>
      <x:c r="J839" s="7"/>
      <x:c r="K839" s="8" t="str">
        <x:f>IF(A839="","",DATE(YEAR(A839),MONTH(A839),1))</x:f>
      </x:c>
    </x:row>
    <x:row r="840">
      <x:c r="A840" s="9"/>
      <x:c r="B840" s="7"/>
      <x:c r="C840" s="7" t="str">
        <x:f>IF(B840="","",XLOOKUP(B840,Employees!$A$4:$A$53,Employees!$B$4:$B$53,""))</x:f>
      </x:c>
      <x:c r="D840" s="7"/>
      <x:c r="E840" s="10" t="n">
        <x:v>8</x:v>
      </x:c>
      <x:c r="F840" s="10"/>
      <x:c r="G840" s="10" t="str">
        <x:f>IF(F840="","",MIN(F840,E840))</x:f>
      </x:c>
      <x:c r="H840" s="10" t="str">
        <x:f>IF(F840="","",MAX(0,F840-E840))</x:f>
      </x:c>
      <x:c r="I840" s="24"/>
      <x:c r="J840" s="7"/>
      <x:c r="K840" s="8" t="str">
        <x:f>IF(A840="","",DATE(YEAR(A840),MONTH(A840),1))</x:f>
      </x:c>
    </x:row>
    <x:row r="841">
      <x:c r="A841" s="9"/>
      <x:c r="B841" s="7"/>
      <x:c r="C841" s="7" t="str">
        <x:f>IF(B841="","",XLOOKUP(B841,Employees!$A$4:$A$53,Employees!$B$4:$B$53,""))</x:f>
      </x:c>
      <x:c r="D841" s="7"/>
      <x:c r="E841" s="10" t="n">
        <x:v>8</x:v>
      </x:c>
      <x:c r="F841" s="10"/>
      <x:c r="G841" s="10" t="str">
        <x:f>IF(F841="","",MIN(F841,E841))</x:f>
      </x:c>
      <x:c r="H841" s="10" t="str">
        <x:f>IF(F841="","",MAX(0,F841-E841))</x:f>
      </x:c>
      <x:c r="I841" s="24"/>
      <x:c r="J841" s="7"/>
      <x:c r="K841" s="8" t="str">
        <x:f>IF(A841="","",DATE(YEAR(A841),MONTH(A841),1))</x:f>
      </x:c>
    </x:row>
    <x:row r="842">
      <x:c r="A842" s="9"/>
      <x:c r="B842" s="7"/>
      <x:c r="C842" s="7" t="str">
        <x:f>IF(B842="","",XLOOKUP(B842,Employees!$A$4:$A$53,Employees!$B$4:$B$53,""))</x:f>
      </x:c>
      <x:c r="D842" s="7"/>
      <x:c r="E842" s="10" t="n">
        <x:v>8</x:v>
      </x:c>
      <x:c r="F842" s="10"/>
      <x:c r="G842" s="10" t="str">
        <x:f>IF(F842="","",MIN(F842,E842))</x:f>
      </x:c>
      <x:c r="H842" s="10" t="str">
        <x:f>IF(F842="","",MAX(0,F842-E842))</x:f>
      </x:c>
      <x:c r="I842" s="24"/>
      <x:c r="J842" s="7"/>
      <x:c r="K842" s="8" t="str">
        <x:f>IF(A842="","",DATE(YEAR(A842),MONTH(A842),1))</x:f>
      </x:c>
    </x:row>
    <x:row r="843">
      <x:c r="A843" s="9"/>
      <x:c r="B843" s="7"/>
      <x:c r="C843" s="7" t="str">
        <x:f>IF(B843="","",XLOOKUP(B843,Employees!$A$4:$A$53,Employees!$B$4:$B$53,""))</x:f>
      </x:c>
      <x:c r="D843" s="7"/>
      <x:c r="E843" s="10" t="n">
        <x:v>8</x:v>
      </x:c>
      <x:c r="F843" s="10"/>
      <x:c r="G843" s="10" t="str">
        <x:f>IF(F843="","",MIN(F843,E843))</x:f>
      </x:c>
      <x:c r="H843" s="10" t="str">
        <x:f>IF(F843="","",MAX(0,F843-E843))</x:f>
      </x:c>
      <x:c r="I843" s="24"/>
      <x:c r="J843" s="7"/>
      <x:c r="K843" s="8" t="str">
        <x:f>IF(A843="","",DATE(YEAR(A843),MONTH(A843),1))</x:f>
      </x:c>
    </x:row>
    <x:row r="844">
      <x:c r="A844" s="9"/>
      <x:c r="B844" s="7"/>
      <x:c r="C844" s="7" t="str">
        <x:f>IF(B844="","",XLOOKUP(B844,Employees!$A$4:$A$53,Employees!$B$4:$B$53,""))</x:f>
      </x:c>
      <x:c r="D844" s="7"/>
      <x:c r="E844" s="10" t="n">
        <x:v>8</x:v>
      </x:c>
      <x:c r="F844" s="10"/>
      <x:c r="G844" s="10" t="str">
        <x:f>IF(F844="","",MIN(F844,E844))</x:f>
      </x:c>
      <x:c r="H844" s="10" t="str">
        <x:f>IF(F844="","",MAX(0,F844-E844))</x:f>
      </x:c>
      <x:c r="I844" s="24"/>
      <x:c r="J844" s="7"/>
      <x:c r="K844" s="8" t="str">
        <x:f>IF(A844="","",DATE(YEAR(A844),MONTH(A844),1))</x:f>
      </x:c>
    </x:row>
    <x:row r="845">
      <x:c r="A845" s="9"/>
      <x:c r="B845" s="7"/>
      <x:c r="C845" s="7" t="str">
        <x:f>IF(B845="","",XLOOKUP(B845,Employees!$A$4:$A$53,Employees!$B$4:$B$53,""))</x:f>
      </x:c>
      <x:c r="D845" s="7"/>
      <x:c r="E845" s="10" t="n">
        <x:v>8</x:v>
      </x:c>
      <x:c r="F845" s="10"/>
      <x:c r="G845" s="10" t="str">
        <x:f>IF(F845="","",MIN(F845,E845))</x:f>
      </x:c>
      <x:c r="H845" s="10" t="str">
        <x:f>IF(F845="","",MAX(0,F845-E845))</x:f>
      </x:c>
      <x:c r="I845" s="24"/>
      <x:c r="J845" s="7"/>
      <x:c r="K845" s="8" t="str">
        <x:f>IF(A845="","",DATE(YEAR(A845),MONTH(A845),1))</x:f>
      </x:c>
    </x:row>
    <x:row r="846">
      <x:c r="A846" s="9"/>
      <x:c r="B846" s="7"/>
      <x:c r="C846" s="7" t="str">
        <x:f>IF(B846="","",XLOOKUP(B846,Employees!$A$4:$A$53,Employees!$B$4:$B$53,""))</x:f>
      </x:c>
      <x:c r="D846" s="7"/>
      <x:c r="E846" s="10" t="n">
        <x:v>8</x:v>
      </x:c>
      <x:c r="F846" s="10"/>
      <x:c r="G846" s="10" t="str">
        <x:f>IF(F846="","",MIN(F846,E846))</x:f>
      </x:c>
      <x:c r="H846" s="10" t="str">
        <x:f>IF(F846="","",MAX(0,F846-E846))</x:f>
      </x:c>
      <x:c r="I846" s="24"/>
      <x:c r="J846" s="7"/>
      <x:c r="K846" s="8" t="str">
        <x:f>IF(A846="","",DATE(YEAR(A846),MONTH(A846),1))</x:f>
      </x:c>
    </x:row>
    <x:row r="847">
      <x:c r="A847" s="9"/>
      <x:c r="B847" s="7"/>
      <x:c r="C847" s="7" t="str">
        <x:f>IF(B847="","",XLOOKUP(B847,Employees!$A$4:$A$53,Employees!$B$4:$B$53,""))</x:f>
      </x:c>
      <x:c r="D847" s="7"/>
      <x:c r="E847" s="10" t="n">
        <x:v>8</x:v>
      </x:c>
      <x:c r="F847" s="10"/>
      <x:c r="G847" s="10" t="str">
        <x:f>IF(F847="","",MIN(F847,E847))</x:f>
      </x:c>
      <x:c r="H847" s="10" t="str">
        <x:f>IF(F847="","",MAX(0,F847-E847))</x:f>
      </x:c>
      <x:c r="I847" s="24"/>
      <x:c r="J847" s="7"/>
      <x:c r="K847" s="8" t="str">
        <x:f>IF(A847="","",DATE(YEAR(A847),MONTH(A847),1))</x:f>
      </x:c>
    </x:row>
    <x:row r="848">
      <x:c r="A848" s="9"/>
      <x:c r="B848" s="7"/>
      <x:c r="C848" s="7" t="str">
        <x:f>IF(B848="","",XLOOKUP(B848,Employees!$A$4:$A$53,Employees!$B$4:$B$53,""))</x:f>
      </x:c>
      <x:c r="D848" s="7"/>
      <x:c r="E848" s="10" t="n">
        <x:v>8</x:v>
      </x:c>
      <x:c r="F848" s="10"/>
      <x:c r="G848" s="10" t="str">
        <x:f>IF(F848="","",MIN(F848,E848))</x:f>
      </x:c>
      <x:c r="H848" s="10" t="str">
        <x:f>IF(F848="","",MAX(0,F848-E848))</x:f>
      </x:c>
      <x:c r="I848" s="24"/>
      <x:c r="J848" s="7"/>
      <x:c r="K848" s="8" t="str">
        <x:f>IF(A848="","",DATE(YEAR(A848),MONTH(A848),1))</x:f>
      </x:c>
    </x:row>
    <x:row r="849">
      <x:c r="A849" s="9"/>
      <x:c r="B849" s="7"/>
      <x:c r="C849" s="7" t="str">
        <x:f>IF(B849="","",XLOOKUP(B849,Employees!$A$4:$A$53,Employees!$B$4:$B$53,""))</x:f>
      </x:c>
      <x:c r="D849" s="7"/>
      <x:c r="E849" s="10" t="n">
        <x:v>8</x:v>
      </x:c>
      <x:c r="F849" s="10"/>
      <x:c r="G849" s="10" t="str">
        <x:f>IF(F849="","",MIN(F849,E849))</x:f>
      </x:c>
      <x:c r="H849" s="10" t="str">
        <x:f>IF(F849="","",MAX(0,F849-E849))</x:f>
      </x:c>
      <x:c r="I849" s="24"/>
      <x:c r="J849" s="7"/>
      <x:c r="K849" s="8" t="str">
        <x:f>IF(A849="","",DATE(YEAR(A849),MONTH(A849),1))</x:f>
      </x:c>
    </x:row>
    <x:row r="850">
      <x:c r="A850" s="9"/>
      <x:c r="B850" s="7"/>
      <x:c r="C850" s="7" t="str">
        <x:f>IF(B850="","",XLOOKUP(B850,Employees!$A$4:$A$53,Employees!$B$4:$B$53,""))</x:f>
      </x:c>
      <x:c r="D850" s="7"/>
      <x:c r="E850" s="10" t="n">
        <x:v>8</x:v>
      </x:c>
      <x:c r="F850" s="10"/>
      <x:c r="G850" s="10" t="str">
        <x:f>IF(F850="","",MIN(F850,E850))</x:f>
      </x:c>
      <x:c r="H850" s="10" t="str">
        <x:f>IF(F850="","",MAX(0,F850-E850))</x:f>
      </x:c>
      <x:c r="I850" s="24"/>
      <x:c r="J850" s="7"/>
      <x:c r="K850" s="8" t="str">
        <x:f>IF(A850="","",DATE(YEAR(A850),MONTH(A850),1))</x:f>
      </x:c>
    </x:row>
    <x:row r="851">
      <x:c r="A851" s="9"/>
      <x:c r="B851" s="7"/>
      <x:c r="C851" s="7" t="str">
        <x:f>IF(B851="","",XLOOKUP(B851,Employees!$A$4:$A$53,Employees!$B$4:$B$53,""))</x:f>
      </x:c>
      <x:c r="D851" s="7"/>
      <x:c r="E851" s="10" t="n">
        <x:v>8</x:v>
      </x:c>
      <x:c r="F851" s="10"/>
      <x:c r="G851" s="10" t="str">
        <x:f>IF(F851="","",MIN(F851,E851))</x:f>
      </x:c>
      <x:c r="H851" s="10" t="str">
        <x:f>IF(F851="","",MAX(0,F851-E851))</x:f>
      </x:c>
      <x:c r="I851" s="24"/>
      <x:c r="J851" s="7"/>
      <x:c r="K851" s="8" t="str">
        <x:f>IF(A851="","",DATE(YEAR(A851),MONTH(A851),1))</x:f>
      </x:c>
    </x:row>
    <x:row r="852">
      <x:c r="A852" s="9"/>
      <x:c r="B852" s="7"/>
      <x:c r="C852" s="7" t="str">
        <x:f>IF(B852="","",XLOOKUP(B852,Employees!$A$4:$A$53,Employees!$B$4:$B$53,""))</x:f>
      </x:c>
      <x:c r="D852" s="7"/>
      <x:c r="E852" s="10" t="n">
        <x:v>8</x:v>
      </x:c>
      <x:c r="F852" s="10"/>
      <x:c r="G852" s="10" t="str">
        <x:f>IF(F852="","",MIN(F852,E852))</x:f>
      </x:c>
      <x:c r="H852" s="10" t="str">
        <x:f>IF(F852="","",MAX(0,F852-E852))</x:f>
      </x:c>
      <x:c r="I852" s="24"/>
      <x:c r="J852" s="7"/>
      <x:c r="K852" s="8" t="str">
        <x:f>IF(A852="","",DATE(YEAR(A852),MONTH(A852),1))</x:f>
      </x:c>
    </x:row>
    <x:row r="853">
      <x:c r="A853" s="9"/>
      <x:c r="B853" s="7"/>
      <x:c r="C853" s="7" t="str">
        <x:f>IF(B853="","",XLOOKUP(B853,Employees!$A$4:$A$53,Employees!$B$4:$B$53,""))</x:f>
      </x:c>
      <x:c r="D853" s="7"/>
      <x:c r="E853" s="10" t="n">
        <x:v>8</x:v>
      </x:c>
      <x:c r="F853" s="10"/>
      <x:c r="G853" s="10" t="str">
        <x:f>IF(F853="","",MIN(F853,E853))</x:f>
      </x:c>
      <x:c r="H853" s="10" t="str">
        <x:f>IF(F853="","",MAX(0,F853-E853))</x:f>
      </x:c>
      <x:c r="I853" s="24"/>
      <x:c r="J853" s="7"/>
      <x:c r="K853" s="8" t="str">
        <x:f>IF(A853="","",DATE(YEAR(A853),MONTH(A853),1))</x:f>
      </x:c>
    </x:row>
    <x:row r="854">
      <x:c r="A854" s="9"/>
      <x:c r="B854" s="7"/>
      <x:c r="C854" s="7" t="str">
        <x:f>IF(B854="","",XLOOKUP(B854,Employees!$A$4:$A$53,Employees!$B$4:$B$53,""))</x:f>
      </x:c>
      <x:c r="D854" s="7"/>
      <x:c r="E854" s="10" t="n">
        <x:v>8</x:v>
      </x:c>
      <x:c r="F854" s="10"/>
      <x:c r="G854" s="10" t="str">
        <x:f>IF(F854="","",MIN(F854,E854))</x:f>
      </x:c>
      <x:c r="H854" s="10" t="str">
        <x:f>IF(F854="","",MAX(0,F854-E854))</x:f>
      </x:c>
      <x:c r="I854" s="24"/>
      <x:c r="J854" s="7"/>
      <x:c r="K854" s="8" t="str">
        <x:f>IF(A854="","",DATE(YEAR(A854),MONTH(A854),1))</x:f>
      </x:c>
    </x:row>
    <x:row r="855">
      <x:c r="A855" s="9"/>
      <x:c r="B855" s="7"/>
      <x:c r="C855" s="7" t="str">
        <x:f>IF(B855="","",XLOOKUP(B855,Employees!$A$4:$A$53,Employees!$B$4:$B$53,""))</x:f>
      </x:c>
      <x:c r="D855" s="7"/>
      <x:c r="E855" s="10" t="n">
        <x:v>8</x:v>
      </x:c>
      <x:c r="F855" s="10"/>
      <x:c r="G855" s="10" t="str">
        <x:f>IF(F855="","",MIN(F855,E855))</x:f>
      </x:c>
      <x:c r="H855" s="10" t="str">
        <x:f>IF(F855="","",MAX(0,F855-E855))</x:f>
      </x:c>
      <x:c r="I855" s="24"/>
      <x:c r="J855" s="7"/>
      <x:c r="K855" s="8" t="str">
        <x:f>IF(A855="","",DATE(YEAR(A855),MONTH(A855),1))</x:f>
      </x:c>
    </x:row>
    <x:row r="856">
      <x:c r="A856" s="9"/>
      <x:c r="B856" s="7"/>
      <x:c r="C856" s="7" t="str">
        <x:f>IF(B856="","",XLOOKUP(B856,Employees!$A$4:$A$53,Employees!$B$4:$B$53,""))</x:f>
      </x:c>
      <x:c r="D856" s="7"/>
      <x:c r="E856" s="10" t="n">
        <x:v>8</x:v>
      </x:c>
      <x:c r="F856" s="10"/>
      <x:c r="G856" s="10" t="str">
        <x:f>IF(F856="","",MIN(F856,E856))</x:f>
      </x:c>
      <x:c r="H856" s="10" t="str">
        <x:f>IF(F856="","",MAX(0,F856-E856))</x:f>
      </x:c>
      <x:c r="I856" s="24"/>
      <x:c r="J856" s="7"/>
      <x:c r="K856" s="8" t="str">
        <x:f>IF(A856="","",DATE(YEAR(A856),MONTH(A856),1))</x:f>
      </x:c>
    </x:row>
    <x:row r="857">
      <x:c r="A857" s="9"/>
      <x:c r="B857" s="7"/>
      <x:c r="C857" s="7" t="str">
        <x:f>IF(B857="","",XLOOKUP(B857,Employees!$A$4:$A$53,Employees!$B$4:$B$53,""))</x:f>
      </x:c>
      <x:c r="D857" s="7"/>
      <x:c r="E857" s="10" t="n">
        <x:v>8</x:v>
      </x:c>
      <x:c r="F857" s="10"/>
      <x:c r="G857" s="10" t="str">
        <x:f>IF(F857="","",MIN(F857,E857))</x:f>
      </x:c>
      <x:c r="H857" s="10" t="str">
        <x:f>IF(F857="","",MAX(0,F857-E857))</x:f>
      </x:c>
      <x:c r="I857" s="24"/>
      <x:c r="J857" s="7"/>
      <x:c r="K857" s="8" t="str">
        <x:f>IF(A857="","",DATE(YEAR(A857),MONTH(A857),1))</x:f>
      </x:c>
    </x:row>
    <x:row r="858">
      <x:c r="A858" s="9"/>
      <x:c r="B858" s="7"/>
      <x:c r="C858" s="7" t="str">
        <x:f>IF(B858="","",XLOOKUP(B858,Employees!$A$4:$A$53,Employees!$B$4:$B$53,""))</x:f>
      </x:c>
      <x:c r="D858" s="7"/>
      <x:c r="E858" s="10" t="n">
        <x:v>8</x:v>
      </x:c>
      <x:c r="F858" s="10"/>
      <x:c r="G858" s="10" t="str">
        <x:f>IF(F858="","",MIN(F858,E858))</x:f>
      </x:c>
      <x:c r="H858" s="10" t="str">
        <x:f>IF(F858="","",MAX(0,F858-E858))</x:f>
      </x:c>
      <x:c r="I858" s="24"/>
      <x:c r="J858" s="7"/>
      <x:c r="K858" s="8" t="str">
        <x:f>IF(A858="","",DATE(YEAR(A858),MONTH(A858),1))</x:f>
      </x:c>
    </x:row>
    <x:row r="859">
      <x:c r="A859" s="9"/>
      <x:c r="B859" s="7"/>
      <x:c r="C859" s="7" t="str">
        <x:f>IF(B859="","",XLOOKUP(B859,Employees!$A$4:$A$53,Employees!$B$4:$B$53,""))</x:f>
      </x:c>
      <x:c r="D859" s="7"/>
      <x:c r="E859" s="10" t="n">
        <x:v>8</x:v>
      </x:c>
      <x:c r="F859" s="10"/>
      <x:c r="G859" s="10" t="str">
        <x:f>IF(F859="","",MIN(F859,E859))</x:f>
      </x:c>
      <x:c r="H859" s="10" t="str">
        <x:f>IF(F859="","",MAX(0,F859-E859))</x:f>
      </x:c>
      <x:c r="I859" s="24"/>
      <x:c r="J859" s="7"/>
      <x:c r="K859" s="8" t="str">
        <x:f>IF(A859="","",DATE(YEAR(A859),MONTH(A859),1))</x:f>
      </x:c>
    </x:row>
    <x:row r="860">
      <x:c r="A860" s="9"/>
      <x:c r="B860" s="7"/>
      <x:c r="C860" s="7" t="str">
        <x:f>IF(B860="","",XLOOKUP(B860,Employees!$A$4:$A$53,Employees!$B$4:$B$53,""))</x:f>
      </x:c>
      <x:c r="D860" s="7"/>
      <x:c r="E860" s="10" t="n">
        <x:v>8</x:v>
      </x:c>
      <x:c r="F860" s="10"/>
      <x:c r="G860" s="10" t="str">
        <x:f>IF(F860="","",MIN(F860,E860))</x:f>
      </x:c>
      <x:c r="H860" s="10" t="str">
        <x:f>IF(F860="","",MAX(0,F860-E860))</x:f>
      </x:c>
      <x:c r="I860" s="24"/>
      <x:c r="J860" s="7"/>
      <x:c r="K860" s="8" t="str">
        <x:f>IF(A860="","",DATE(YEAR(A860),MONTH(A860),1))</x:f>
      </x:c>
    </x:row>
    <x:row r="861">
      <x:c r="A861" s="9"/>
      <x:c r="B861" s="7"/>
      <x:c r="C861" s="7" t="str">
        <x:f>IF(B861="","",XLOOKUP(B861,Employees!$A$4:$A$53,Employees!$B$4:$B$53,""))</x:f>
      </x:c>
      <x:c r="D861" s="7"/>
      <x:c r="E861" s="10" t="n">
        <x:v>8</x:v>
      </x:c>
      <x:c r="F861" s="10"/>
      <x:c r="G861" s="10" t="str">
        <x:f>IF(F861="","",MIN(F861,E861))</x:f>
      </x:c>
      <x:c r="H861" s="10" t="str">
        <x:f>IF(F861="","",MAX(0,F861-E861))</x:f>
      </x:c>
      <x:c r="I861" s="24"/>
      <x:c r="J861" s="7"/>
      <x:c r="K861" s="8" t="str">
        <x:f>IF(A861="","",DATE(YEAR(A861),MONTH(A861),1))</x:f>
      </x:c>
    </x:row>
    <x:row r="862">
      <x:c r="A862" s="9"/>
      <x:c r="B862" s="7"/>
      <x:c r="C862" s="7" t="str">
        <x:f>IF(B862="","",XLOOKUP(B862,Employees!$A$4:$A$53,Employees!$B$4:$B$53,""))</x:f>
      </x:c>
      <x:c r="D862" s="7"/>
      <x:c r="E862" s="10" t="n">
        <x:v>8</x:v>
      </x:c>
      <x:c r="F862" s="10"/>
      <x:c r="G862" s="10" t="str">
        <x:f>IF(F862="","",MIN(F862,E862))</x:f>
      </x:c>
      <x:c r="H862" s="10" t="str">
        <x:f>IF(F862="","",MAX(0,F862-E862))</x:f>
      </x:c>
      <x:c r="I862" s="24"/>
      <x:c r="J862" s="7"/>
      <x:c r="K862" s="8" t="str">
        <x:f>IF(A862="","",DATE(YEAR(A862),MONTH(A862),1))</x:f>
      </x:c>
    </x:row>
    <x:row r="863">
      <x:c r="A863" s="9"/>
      <x:c r="B863" s="7"/>
      <x:c r="C863" s="7" t="str">
        <x:f>IF(B863="","",XLOOKUP(B863,Employees!$A$4:$A$53,Employees!$B$4:$B$53,""))</x:f>
      </x:c>
      <x:c r="D863" s="7"/>
      <x:c r="E863" s="10" t="n">
        <x:v>8</x:v>
      </x:c>
      <x:c r="F863" s="10"/>
      <x:c r="G863" s="10" t="str">
        <x:f>IF(F863="","",MIN(F863,E863))</x:f>
      </x:c>
      <x:c r="H863" s="10" t="str">
        <x:f>IF(F863="","",MAX(0,F863-E863))</x:f>
      </x:c>
      <x:c r="I863" s="24"/>
      <x:c r="J863" s="7"/>
      <x:c r="K863" s="8" t="str">
        <x:f>IF(A863="","",DATE(YEAR(A863),MONTH(A863),1))</x:f>
      </x:c>
    </x:row>
    <x:row r="864">
      <x:c r="A864" s="9"/>
      <x:c r="B864" s="7"/>
      <x:c r="C864" s="7" t="str">
        <x:f>IF(B864="","",XLOOKUP(B864,Employees!$A$4:$A$53,Employees!$B$4:$B$53,""))</x:f>
      </x:c>
      <x:c r="D864" s="7"/>
      <x:c r="E864" s="10" t="n">
        <x:v>8</x:v>
      </x:c>
      <x:c r="F864" s="10"/>
      <x:c r="G864" s="10" t="str">
        <x:f>IF(F864="","",MIN(F864,E864))</x:f>
      </x:c>
      <x:c r="H864" s="10" t="str">
        <x:f>IF(F864="","",MAX(0,F864-E864))</x:f>
      </x:c>
      <x:c r="I864" s="24"/>
      <x:c r="J864" s="7"/>
      <x:c r="K864" s="8" t="str">
        <x:f>IF(A864="","",DATE(YEAR(A864),MONTH(A864),1))</x:f>
      </x:c>
    </x:row>
    <x:row r="865">
      <x:c r="A865" s="9"/>
      <x:c r="B865" s="7"/>
      <x:c r="C865" s="7" t="str">
        <x:f>IF(B865="","",XLOOKUP(B865,Employees!$A$4:$A$53,Employees!$B$4:$B$53,""))</x:f>
      </x:c>
      <x:c r="D865" s="7"/>
      <x:c r="E865" s="10" t="n">
        <x:v>8</x:v>
      </x:c>
      <x:c r="F865" s="10"/>
      <x:c r="G865" s="10" t="str">
        <x:f>IF(F865="","",MIN(F865,E865))</x:f>
      </x:c>
      <x:c r="H865" s="10" t="str">
        <x:f>IF(F865="","",MAX(0,F865-E865))</x:f>
      </x:c>
      <x:c r="I865" s="24"/>
      <x:c r="J865" s="7"/>
      <x:c r="K865" s="8" t="str">
        <x:f>IF(A865="","",DATE(YEAR(A865),MONTH(A865),1))</x:f>
      </x:c>
    </x:row>
    <x:row r="866">
      <x:c r="A866" s="9"/>
      <x:c r="B866" s="7"/>
      <x:c r="C866" s="7" t="str">
        <x:f>IF(B866="","",XLOOKUP(B866,Employees!$A$4:$A$53,Employees!$B$4:$B$53,""))</x:f>
      </x:c>
      <x:c r="D866" s="7"/>
      <x:c r="E866" s="10" t="n">
        <x:v>8</x:v>
      </x:c>
      <x:c r="F866" s="10"/>
      <x:c r="G866" s="10" t="str">
        <x:f>IF(F866="","",MIN(F866,E866))</x:f>
      </x:c>
      <x:c r="H866" s="10" t="str">
        <x:f>IF(F866="","",MAX(0,F866-E866))</x:f>
      </x:c>
      <x:c r="I866" s="24"/>
      <x:c r="J866" s="7"/>
      <x:c r="K866" s="8" t="str">
        <x:f>IF(A866="","",DATE(YEAR(A866),MONTH(A866),1))</x:f>
      </x:c>
    </x:row>
    <x:row r="867">
      <x:c r="A867" s="9"/>
      <x:c r="B867" s="7"/>
      <x:c r="C867" s="7" t="str">
        <x:f>IF(B867="","",XLOOKUP(B867,Employees!$A$4:$A$53,Employees!$B$4:$B$53,""))</x:f>
      </x:c>
      <x:c r="D867" s="7"/>
      <x:c r="E867" s="10" t="n">
        <x:v>8</x:v>
      </x:c>
      <x:c r="F867" s="10"/>
      <x:c r="G867" s="10" t="str">
        <x:f>IF(F867="","",MIN(F867,E867))</x:f>
      </x:c>
      <x:c r="H867" s="10" t="str">
        <x:f>IF(F867="","",MAX(0,F867-E867))</x:f>
      </x:c>
      <x:c r="I867" s="24"/>
      <x:c r="J867" s="7"/>
      <x:c r="K867" s="8" t="str">
        <x:f>IF(A867="","",DATE(YEAR(A867),MONTH(A867),1))</x:f>
      </x:c>
    </x:row>
    <x:row r="868">
      <x:c r="A868" s="9"/>
      <x:c r="B868" s="7"/>
      <x:c r="C868" s="7" t="str">
        <x:f>IF(B868="","",XLOOKUP(B868,Employees!$A$4:$A$53,Employees!$B$4:$B$53,""))</x:f>
      </x:c>
      <x:c r="D868" s="7"/>
      <x:c r="E868" s="10" t="n">
        <x:v>8</x:v>
      </x:c>
      <x:c r="F868" s="10"/>
      <x:c r="G868" s="10" t="str">
        <x:f>IF(F868="","",MIN(F868,E868))</x:f>
      </x:c>
      <x:c r="H868" s="10" t="str">
        <x:f>IF(F868="","",MAX(0,F868-E868))</x:f>
      </x:c>
      <x:c r="I868" s="24"/>
      <x:c r="J868" s="7"/>
      <x:c r="K868" s="8" t="str">
        <x:f>IF(A868="","",DATE(YEAR(A868),MONTH(A868),1))</x:f>
      </x:c>
    </x:row>
    <x:row r="869">
      <x:c r="A869" s="9"/>
      <x:c r="B869" s="7"/>
      <x:c r="C869" s="7" t="str">
        <x:f>IF(B869="","",XLOOKUP(B869,Employees!$A$4:$A$53,Employees!$B$4:$B$53,""))</x:f>
      </x:c>
      <x:c r="D869" s="7"/>
      <x:c r="E869" s="10" t="n">
        <x:v>8</x:v>
      </x:c>
      <x:c r="F869" s="10"/>
      <x:c r="G869" s="10" t="str">
        <x:f>IF(F869="","",MIN(F869,E869))</x:f>
      </x:c>
      <x:c r="H869" s="10" t="str">
        <x:f>IF(F869="","",MAX(0,F869-E869))</x:f>
      </x:c>
      <x:c r="I869" s="24"/>
      <x:c r="J869" s="7"/>
      <x:c r="K869" s="8" t="str">
        <x:f>IF(A869="","",DATE(YEAR(A869),MONTH(A869),1))</x:f>
      </x:c>
    </x:row>
    <x:row r="870">
      <x:c r="A870" s="9"/>
      <x:c r="B870" s="7"/>
      <x:c r="C870" s="7" t="str">
        <x:f>IF(B870="","",XLOOKUP(B870,Employees!$A$4:$A$53,Employees!$B$4:$B$53,""))</x:f>
      </x:c>
      <x:c r="D870" s="7"/>
      <x:c r="E870" s="10" t="n">
        <x:v>8</x:v>
      </x:c>
      <x:c r="F870" s="10"/>
      <x:c r="G870" s="10" t="str">
        <x:f>IF(F870="","",MIN(F870,E870))</x:f>
      </x:c>
      <x:c r="H870" s="10" t="str">
        <x:f>IF(F870="","",MAX(0,F870-E870))</x:f>
      </x:c>
      <x:c r="I870" s="24"/>
      <x:c r="J870" s="7"/>
      <x:c r="K870" s="8" t="str">
        <x:f>IF(A870="","",DATE(YEAR(A870),MONTH(A870),1))</x:f>
      </x:c>
    </x:row>
    <x:row r="871">
      <x:c r="A871" s="9"/>
      <x:c r="B871" s="7"/>
      <x:c r="C871" s="7" t="str">
        <x:f>IF(B871="","",XLOOKUP(B871,Employees!$A$4:$A$53,Employees!$B$4:$B$53,""))</x:f>
      </x:c>
      <x:c r="D871" s="7"/>
      <x:c r="E871" s="10" t="n">
        <x:v>8</x:v>
      </x:c>
      <x:c r="F871" s="10"/>
      <x:c r="G871" s="10" t="str">
        <x:f>IF(F871="","",MIN(F871,E871))</x:f>
      </x:c>
      <x:c r="H871" s="10" t="str">
        <x:f>IF(F871="","",MAX(0,F871-E871))</x:f>
      </x:c>
      <x:c r="I871" s="24"/>
      <x:c r="J871" s="7"/>
      <x:c r="K871" s="8" t="str">
        <x:f>IF(A871="","",DATE(YEAR(A871),MONTH(A871),1))</x:f>
      </x:c>
    </x:row>
    <x:row r="872">
      <x:c r="A872" s="9"/>
      <x:c r="B872" s="7"/>
      <x:c r="C872" s="7" t="str">
        <x:f>IF(B872="","",XLOOKUP(B872,Employees!$A$4:$A$53,Employees!$B$4:$B$53,""))</x:f>
      </x:c>
      <x:c r="D872" s="7"/>
      <x:c r="E872" s="10" t="n">
        <x:v>8</x:v>
      </x:c>
      <x:c r="F872" s="10"/>
      <x:c r="G872" s="10" t="str">
        <x:f>IF(F872="","",MIN(F872,E872))</x:f>
      </x:c>
      <x:c r="H872" s="10" t="str">
        <x:f>IF(F872="","",MAX(0,F872-E872))</x:f>
      </x:c>
      <x:c r="I872" s="24"/>
      <x:c r="J872" s="7"/>
      <x:c r="K872" s="8" t="str">
        <x:f>IF(A872="","",DATE(YEAR(A872),MONTH(A872),1))</x:f>
      </x:c>
    </x:row>
    <x:row r="873">
      <x:c r="A873" s="9"/>
      <x:c r="B873" s="7"/>
      <x:c r="C873" s="7" t="str">
        <x:f>IF(B873="","",XLOOKUP(B873,Employees!$A$4:$A$53,Employees!$B$4:$B$53,""))</x:f>
      </x:c>
      <x:c r="D873" s="7"/>
      <x:c r="E873" s="10" t="n">
        <x:v>8</x:v>
      </x:c>
      <x:c r="F873" s="10"/>
      <x:c r="G873" s="10" t="str">
        <x:f>IF(F873="","",MIN(F873,E873))</x:f>
      </x:c>
      <x:c r="H873" s="10" t="str">
        <x:f>IF(F873="","",MAX(0,F873-E873))</x:f>
      </x:c>
      <x:c r="I873" s="24"/>
      <x:c r="J873" s="7"/>
      <x:c r="K873" s="8" t="str">
        <x:f>IF(A873="","",DATE(YEAR(A873),MONTH(A873),1))</x:f>
      </x:c>
    </x:row>
    <x:row r="874">
      <x:c r="A874" s="9"/>
      <x:c r="B874" s="7"/>
      <x:c r="C874" s="7" t="str">
        <x:f>IF(B874="","",XLOOKUP(B874,Employees!$A$4:$A$53,Employees!$B$4:$B$53,""))</x:f>
      </x:c>
      <x:c r="D874" s="7"/>
      <x:c r="E874" s="10" t="n">
        <x:v>8</x:v>
      </x:c>
      <x:c r="F874" s="10"/>
      <x:c r="G874" s="10" t="str">
        <x:f>IF(F874="","",MIN(F874,E874))</x:f>
      </x:c>
      <x:c r="H874" s="10" t="str">
        <x:f>IF(F874="","",MAX(0,F874-E874))</x:f>
      </x:c>
      <x:c r="I874" s="24"/>
      <x:c r="J874" s="7"/>
      <x:c r="K874" s="8" t="str">
        <x:f>IF(A874="","",DATE(YEAR(A874),MONTH(A874),1))</x:f>
      </x:c>
    </x:row>
    <x:row r="875">
      <x:c r="A875" s="9"/>
      <x:c r="B875" s="7"/>
      <x:c r="C875" s="7" t="str">
        <x:f>IF(B875="","",XLOOKUP(B875,Employees!$A$4:$A$53,Employees!$B$4:$B$53,""))</x:f>
      </x:c>
      <x:c r="D875" s="7"/>
      <x:c r="E875" s="10" t="n">
        <x:v>8</x:v>
      </x:c>
      <x:c r="F875" s="10"/>
      <x:c r="G875" s="10" t="str">
        <x:f>IF(F875="","",MIN(F875,E875))</x:f>
      </x:c>
      <x:c r="H875" s="10" t="str">
        <x:f>IF(F875="","",MAX(0,F875-E875))</x:f>
      </x:c>
      <x:c r="I875" s="24"/>
      <x:c r="J875" s="7"/>
      <x:c r="K875" s="8" t="str">
        <x:f>IF(A875="","",DATE(YEAR(A875),MONTH(A875),1))</x:f>
      </x:c>
    </x:row>
    <x:row r="876">
      <x:c r="A876" s="9"/>
      <x:c r="B876" s="7"/>
      <x:c r="C876" s="7" t="str">
        <x:f>IF(B876="","",XLOOKUP(B876,Employees!$A$4:$A$53,Employees!$B$4:$B$53,""))</x:f>
      </x:c>
      <x:c r="D876" s="7"/>
      <x:c r="E876" s="10" t="n">
        <x:v>8</x:v>
      </x:c>
      <x:c r="F876" s="10"/>
      <x:c r="G876" s="10" t="str">
        <x:f>IF(F876="","",MIN(F876,E876))</x:f>
      </x:c>
      <x:c r="H876" s="10" t="str">
        <x:f>IF(F876="","",MAX(0,F876-E876))</x:f>
      </x:c>
      <x:c r="I876" s="24"/>
      <x:c r="J876" s="7"/>
      <x:c r="K876" s="8" t="str">
        <x:f>IF(A876="","",DATE(YEAR(A876),MONTH(A876),1))</x:f>
      </x:c>
    </x:row>
    <x:row r="877">
      <x:c r="A877" s="9"/>
      <x:c r="B877" s="7"/>
      <x:c r="C877" s="7" t="str">
        <x:f>IF(B877="","",XLOOKUP(B877,Employees!$A$4:$A$53,Employees!$B$4:$B$53,""))</x:f>
      </x:c>
      <x:c r="D877" s="7"/>
      <x:c r="E877" s="10" t="n">
        <x:v>8</x:v>
      </x:c>
      <x:c r="F877" s="10"/>
      <x:c r="G877" s="10" t="str">
        <x:f>IF(F877="","",MIN(F877,E877))</x:f>
      </x:c>
      <x:c r="H877" s="10" t="str">
        <x:f>IF(F877="","",MAX(0,F877-E877))</x:f>
      </x:c>
      <x:c r="I877" s="24"/>
      <x:c r="J877" s="7"/>
      <x:c r="K877" s="8" t="str">
        <x:f>IF(A877="","",DATE(YEAR(A877),MONTH(A877),1))</x:f>
      </x:c>
    </x:row>
    <x:row r="878">
      <x:c r="A878" s="9"/>
      <x:c r="B878" s="7"/>
      <x:c r="C878" s="7" t="str">
        <x:f>IF(B878="","",XLOOKUP(B878,Employees!$A$4:$A$53,Employees!$B$4:$B$53,""))</x:f>
      </x:c>
      <x:c r="D878" s="7"/>
      <x:c r="E878" s="10" t="n">
        <x:v>8</x:v>
      </x:c>
      <x:c r="F878" s="10"/>
      <x:c r="G878" s="10" t="str">
        <x:f>IF(F878="","",MIN(F878,E878))</x:f>
      </x:c>
      <x:c r="H878" s="10" t="str">
        <x:f>IF(F878="","",MAX(0,F878-E878))</x:f>
      </x:c>
      <x:c r="I878" s="24"/>
      <x:c r="J878" s="7"/>
      <x:c r="K878" s="8" t="str">
        <x:f>IF(A878="","",DATE(YEAR(A878),MONTH(A878),1))</x:f>
      </x:c>
    </x:row>
    <x:row r="879">
      <x:c r="A879" s="9"/>
      <x:c r="B879" s="7"/>
      <x:c r="C879" s="7" t="str">
        <x:f>IF(B879="","",XLOOKUP(B879,Employees!$A$4:$A$53,Employees!$B$4:$B$53,""))</x:f>
      </x:c>
      <x:c r="D879" s="7"/>
      <x:c r="E879" s="10" t="n">
        <x:v>8</x:v>
      </x:c>
      <x:c r="F879" s="10"/>
      <x:c r="G879" s="10" t="str">
        <x:f>IF(F879="","",MIN(F879,E879))</x:f>
      </x:c>
      <x:c r="H879" s="10" t="str">
        <x:f>IF(F879="","",MAX(0,F879-E879))</x:f>
      </x:c>
      <x:c r="I879" s="24"/>
      <x:c r="J879" s="7"/>
      <x:c r="K879" s="8" t="str">
        <x:f>IF(A879="","",DATE(YEAR(A879),MONTH(A879),1))</x:f>
      </x:c>
    </x:row>
    <x:row r="880">
      <x:c r="A880" s="9"/>
      <x:c r="B880" s="7"/>
      <x:c r="C880" s="7" t="str">
        <x:f>IF(B880="","",XLOOKUP(B880,Employees!$A$4:$A$53,Employees!$B$4:$B$53,""))</x:f>
      </x:c>
      <x:c r="D880" s="7"/>
      <x:c r="E880" s="10" t="n">
        <x:v>8</x:v>
      </x:c>
      <x:c r="F880" s="10"/>
      <x:c r="G880" s="10" t="str">
        <x:f>IF(F880="","",MIN(F880,E880))</x:f>
      </x:c>
      <x:c r="H880" s="10" t="str">
        <x:f>IF(F880="","",MAX(0,F880-E880))</x:f>
      </x:c>
      <x:c r="I880" s="24"/>
      <x:c r="J880" s="7"/>
      <x:c r="K880" s="8" t="str">
        <x:f>IF(A880="","",DATE(YEAR(A880),MONTH(A880),1))</x:f>
      </x:c>
    </x:row>
    <x:row r="881">
      <x:c r="A881" s="9"/>
      <x:c r="B881" s="7"/>
      <x:c r="C881" s="7" t="str">
        <x:f>IF(B881="","",XLOOKUP(B881,Employees!$A$4:$A$53,Employees!$B$4:$B$53,""))</x:f>
      </x:c>
      <x:c r="D881" s="7"/>
      <x:c r="E881" s="10" t="n">
        <x:v>8</x:v>
      </x:c>
      <x:c r="F881" s="10"/>
      <x:c r="G881" s="10" t="str">
        <x:f>IF(F881="","",MIN(F881,E881))</x:f>
      </x:c>
      <x:c r="H881" s="10" t="str">
        <x:f>IF(F881="","",MAX(0,F881-E881))</x:f>
      </x:c>
      <x:c r="I881" s="24"/>
      <x:c r="J881" s="7"/>
      <x:c r="K881" s="8" t="str">
        <x:f>IF(A881="","",DATE(YEAR(A881),MONTH(A881),1))</x:f>
      </x:c>
    </x:row>
    <x:row r="882">
      <x:c r="A882" s="9"/>
      <x:c r="B882" s="7"/>
      <x:c r="C882" s="7" t="str">
        <x:f>IF(B882="","",XLOOKUP(B882,Employees!$A$4:$A$53,Employees!$B$4:$B$53,""))</x:f>
      </x:c>
      <x:c r="D882" s="7"/>
      <x:c r="E882" s="10" t="n">
        <x:v>8</x:v>
      </x:c>
      <x:c r="F882" s="10"/>
      <x:c r="G882" s="10" t="str">
        <x:f>IF(F882="","",MIN(F882,E882))</x:f>
      </x:c>
      <x:c r="H882" s="10" t="str">
        <x:f>IF(F882="","",MAX(0,F882-E882))</x:f>
      </x:c>
      <x:c r="I882" s="24"/>
      <x:c r="J882" s="7"/>
      <x:c r="K882" s="8" t="str">
        <x:f>IF(A882="","",DATE(YEAR(A882),MONTH(A882),1))</x:f>
      </x:c>
    </x:row>
    <x:row r="883">
      <x:c r="A883" s="9"/>
      <x:c r="B883" s="7"/>
      <x:c r="C883" s="7" t="str">
        <x:f>IF(B883="","",XLOOKUP(B883,Employees!$A$4:$A$53,Employees!$B$4:$B$53,""))</x:f>
      </x:c>
      <x:c r="D883" s="7"/>
      <x:c r="E883" s="10" t="n">
        <x:v>8</x:v>
      </x:c>
      <x:c r="F883" s="10"/>
      <x:c r="G883" s="10" t="str">
        <x:f>IF(F883="","",MIN(F883,E883))</x:f>
      </x:c>
      <x:c r="H883" s="10" t="str">
        <x:f>IF(F883="","",MAX(0,F883-E883))</x:f>
      </x:c>
      <x:c r="I883" s="24"/>
      <x:c r="J883" s="7"/>
      <x:c r="K883" s="8" t="str">
        <x:f>IF(A883="","",DATE(YEAR(A883),MONTH(A883),1))</x:f>
      </x:c>
    </x:row>
    <x:row r="884">
      <x:c r="A884" s="9"/>
      <x:c r="B884" s="7"/>
      <x:c r="C884" s="7" t="str">
        <x:f>IF(B884="","",XLOOKUP(B884,Employees!$A$4:$A$53,Employees!$B$4:$B$53,""))</x:f>
      </x:c>
      <x:c r="D884" s="7"/>
      <x:c r="E884" s="10" t="n">
        <x:v>8</x:v>
      </x:c>
      <x:c r="F884" s="10"/>
      <x:c r="G884" s="10" t="str">
        <x:f>IF(F884="","",MIN(F884,E884))</x:f>
      </x:c>
      <x:c r="H884" s="10" t="str">
        <x:f>IF(F884="","",MAX(0,F884-E884))</x:f>
      </x:c>
      <x:c r="I884" s="24"/>
      <x:c r="J884" s="7"/>
      <x:c r="K884" s="8" t="str">
        <x:f>IF(A884="","",DATE(YEAR(A884),MONTH(A884),1))</x:f>
      </x:c>
    </x:row>
    <x:row r="885">
      <x:c r="A885" s="9"/>
      <x:c r="B885" s="7"/>
      <x:c r="C885" s="7" t="str">
        <x:f>IF(B885="","",XLOOKUP(B885,Employees!$A$4:$A$53,Employees!$B$4:$B$53,""))</x:f>
      </x:c>
      <x:c r="D885" s="7"/>
      <x:c r="E885" s="10" t="n">
        <x:v>8</x:v>
      </x:c>
      <x:c r="F885" s="10"/>
      <x:c r="G885" s="10" t="str">
        <x:f>IF(F885="","",MIN(F885,E885))</x:f>
      </x:c>
      <x:c r="H885" s="10" t="str">
        <x:f>IF(F885="","",MAX(0,F885-E885))</x:f>
      </x:c>
      <x:c r="I885" s="24"/>
      <x:c r="J885" s="7"/>
      <x:c r="K885" s="8" t="str">
        <x:f>IF(A885="","",DATE(YEAR(A885),MONTH(A885),1))</x:f>
      </x:c>
    </x:row>
    <x:row r="886">
      <x:c r="A886" s="9"/>
      <x:c r="B886" s="7"/>
      <x:c r="C886" s="7" t="str">
        <x:f>IF(B886="","",XLOOKUP(B886,Employees!$A$4:$A$53,Employees!$B$4:$B$53,""))</x:f>
      </x:c>
      <x:c r="D886" s="7"/>
      <x:c r="E886" s="10" t="n">
        <x:v>8</x:v>
      </x:c>
      <x:c r="F886" s="10"/>
      <x:c r="G886" s="10" t="str">
        <x:f>IF(F886="","",MIN(F886,E886))</x:f>
      </x:c>
      <x:c r="H886" s="10" t="str">
        <x:f>IF(F886="","",MAX(0,F886-E886))</x:f>
      </x:c>
      <x:c r="I886" s="24"/>
      <x:c r="J886" s="7"/>
      <x:c r="K886" s="8" t="str">
        <x:f>IF(A886="","",DATE(YEAR(A886),MONTH(A886),1))</x:f>
      </x:c>
    </x:row>
    <x:row r="887">
      <x:c r="A887" s="9"/>
      <x:c r="B887" s="7"/>
      <x:c r="C887" s="7" t="str">
        <x:f>IF(B887="","",XLOOKUP(B887,Employees!$A$4:$A$53,Employees!$B$4:$B$53,""))</x:f>
      </x:c>
      <x:c r="D887" s="7"/>
      <x:c r="E887" s="10" t="n">
        <x:v>8</x:v>
      </x:c>
      <x:c r="F887" s="10"/>
      <x:c r="G887" s="10" t="str">
        <x:f>IF(F887="","",MIN(F887,E887))</x:f>
      </x:c>
      <x:c r="H887" s="10" t="str">
        <x:f>IF(F887="","",MAX(0,F887-E887))</x:f>
      </x:c>
      <x:c r="I887" s="24"/>
      <x:c r="J887" s="7"/>
      <x:c r="K887" s="8" t="str">
        <x:f>IF(A887="","",DATE(YEAR(A887),MONTH(A887),1))</x:f>
      </x:c>
    </x:row>
    <x:row r="888">
      <x:c r="A888" s="9"/>
      <x:c r="B888" s="7"/>
      <x:c r="C888" s="7" t="str">
        <x:f>IF(B888="","",XLOOKUP(B888,Employees!$A$4:$A$53,Employees!$B$4:$B$53,""))</x:f>
      </x:c>
      <x:c r="D888" s="7"/>
      <x:c r="E888" s="10" t="n">
        <x:v>8</x:v>
      </x:c>
      <x:c r="F888" s="10"/>
      <x:c r="G888" s="10" t="str">
        <x:f>IF(F888="","",MIN(F888,E888))</x:f>
      </x:c>
      <x:c r="H888" s="10" t="str">
        <x:f>IF(F888="","",MAX(0,F888-E888))</x:f>
      </x:c>
      <x:c r="I888" s="24"/>
      <x:c r="J888" s="7"/>
      <x:c r="K888" s="8" t="str">
        <x:f>IF(A888="","",DATE(YEAR(A888),MONTH(A888),1))</x:f>
      </x:c>
    </x:row>
    <x:row r="889">
      <x:c r="A889" s="9"/>
      <x:c r="B889" s="7"/>
      <x:c r="C889" s="7" t="str">
        <x:f>IF(B889="","",XLOOKUP(B889,Employees!$A$4:$A$53,Employees!$B$4:$B$53,""))</x:f>
      </x:c>
      <x:c r="D889" s="7"/>
      <x:c r="E889" s="10" t="n">
        <x:v>8</x:v>
      </x:c>
      <x:c r="F889" s="10"/>
      <x:c r="G889" s="10" t="str">
        <x:f>IF(F889="","",MIN(F889,E889))</x:f>
      </x:c>
      <x:c r="H889" s="10" t="str">
        <x:f>IF(F889="","",MAX(0,F889-E889))</x:f>
      </x:c>
      <x:c r="I889" s="24"/>
      <x:c r="J889" s="7"/>
      <x:c r="K889" s="8" t="str">
        <x:f>IF(A889="","",DATE(YEAR(A889),MONTH(A889),1))</x:f>
      </x:c>
    </x:row>
    <x:row r="890">
      <x:c r="A890" s="9"/>
      <x:c r="B890" s="7"/>
      <x:c r="C890" s="7" t="str">
        <x:f>IF(B890="","",XLOOKUP(B890,Employees!$A$4:$A$53,Employees!$B$4:$B$53,""))</x:f>
      </x:c>
      <x:c r="D890" s="7"/>
      <x:c r="E890" s="10" t="n">
        <x:v>8</x:v>
      </x:c>
      <x:c r="F890" s="10"/>
      <x:c r="G890" s="10" t="str">
        <x:f>IF(F890="","",MIN(F890,E890))</x:f>
      </x:c>
      <x:c r="H890" s="10" t="str">
        <x:f>IF(F890="","",MAX(0,F890-E890))</x:f>
      </x:c>
      <x:c r="I890" s="24"/>
      <x:c r="J890" s="7"/>
      <x:c r="K890" s="8" t="str">
        <x:f>IF(A890="","",DATE(YEAR(A890),MONTH(A890),1))</x:f>
      </x:c>
    </x:row>
    <x:row r="891">
      <x:c r="A891" s="9"/>
      <x:c r="B891" s="7"/>
      <x:c r="C891" s="7" t="str">
        <x:f>IF(B891="","",XLOOKUP(B891,Employees!$A$4:$A$53,Employees!$B$4:$B$53,""))</x:f>
      </x:c>
      <x:c r="D891" s="7"/>
      <x:c r="E891" s="10" t="n">
        <x:v>8</x:v>
      </x:c>
      <x:c r="F891" s="10"/>
      <x:c r="G891" s="10" t="str">
        <x:f>IF(F891="","",MIN(F891,E891))</x:f>
      </x:c>
      <x:c r="H891" s="10" t="str">
        <x:f>IF(F891="","",MAX(0,F891-E891))</x:f>
      </x:c>
      <x:c r="I891" s="24"/>
      <x:c r="J891" s="7"/>
      <x:c r="K891" s="8" t="str">
        <x:f>IF(A891="","",DATE(YEAR(A891),MONTH(A891),1))</x:f>
      </x:c>
    </x:row>
    <x:row r="892">
      <x:c r="A892" s="9"/>
      <x:c r="B892" s="7"/>
      <x:c r="C892" s="7" t="str">
        <x:f>IF(B892="","",XLOOKUP(B892,Employees!$A$4:$A$53,Employees!$B$4:$B$53,""))</x:f>
      </x:c>
      <x:c r="D892" s="7"/>
      <x:c r="E892" s="10" t="n">
        <x:v>8</x:v>
      </x:c>
      <x:c r="F892" s="10"/>
      <x:c r="G892" s="10" t="str">
        <x:f>IF(F892="","",MIN(F892,E892))</x:f>
      </x:c>
      <x:c r="H892" s="10" t="str">
        <x:f>IF(F892="","",MAX(0,F892-E892))</x:f>
      </x:c>
      <x:c r="I892" s="24"/>
      <x:c r="J892" s="7"/>
      <x:c r="K892" s="8" t="str">
        <x:f>IF(A892="","",DATE(YEAR(A892),MONTH(A892),1))</x:f>
      </x:c>
    </x:row>
    <x:row r="893">
      <x:c r="A893" s="9"/>
      <x:c r="B893" s="7"/>
      <x:c r="C893" s="7" t="str">
        <x:f>IF(B893="","",XLOOKUP(B893,Employees!$A$4:$A$53,Employees!$B$4:$B$53,""))</x:f>
      </x:c>
      <x:c r="D893" s="7"/>
      <x:c r="E893" s="10" t="n">
        <x:v>8</x:v>
      </x:c>
      <x:c r="F893" s="10"/>
      <x:c r="G893" s="10" t="str">
        <x:f>IF(F893="","",MIN(F893,E893))</x:f>
      </x:c>
      <x:c r="H893" s="10" t="str">
        <x:f>IF(F893="","",MAX(0,F893-E893))</x:f>
      </x:c>
      <x:c r="I893" s="24"/>
      <x:c r="J893" s="7"/>
      <x:c r="K893" s="8" t="str">
        <x:f>IF(A893="","",DATE(YEAR(A893),MONTH(A893),1))</x:f>
      </x:c>
    </x:row>
    <x:row r="894">
      <x:c r="A894" s="9"/>
      <x:c r="B894" s="7"/>
      <x:c r="C894" s="7" t="str">
        <x:f>IF(B894="","",XLOOKUP(B894,Employees!$A$4:$A$53,Employees!$B$4:$B$53,""))</x:f>
      </x:c>
      <x:c r="D894" s="7"/>
      <x:c r="E894" s="10" t="n">
        <x:v>8</x:v>
      </x:c>
      <x:c r="F894" s="10"/>
      <x:c r="G894" s="10" t="str">
        <x:f>IF(F894="","",MIN(F894,E894))</x:f>
      </x:c>
      <x:c r="H894" s="10" t="str">
        <x:f>IF(F894="","",MAX(0,F894-E894))</x:f>
      </x:c>
      <x:c r="I894" s="24"/>
      <x:c r="J894" s="7"/>
      <x:c r="K894" s="8" t="str">
        <x:f>IF(A894="","",DATE(YEAR(A894),MONTH(A894),1))</x:f>
      </x:c>
    </x:row>
    <x:row r="895">
      <x:c r="A895" s="9"/>
      <x:c r="B895" s="7"/>
      <x:c r="C895" s="7" t="str">
        <x:f>IF(B895="","",XLOOKUP(B895,Employees!$A$4:$A$53,Employees!$B$4:$B$53,""))</x:f>
      </x:c>
      <x:c r="D895" s="7"/>
      <x:c r="E895" s="10" t="n">
        <x:v>8</x:v>
      </x:c>
      <x:c r="F895" s="10"/>
      <x:c r="G895" s="10" t="str">
        <x:f>IF(F895="","",MIN(F895,E895))</x:f>
      </x:c>
      <x:c r="H895" s="10" t="str">
        <x:f>IF(F895="","",MAX(0,F895-E895))</x:f>
      </x:c>
      <x:c r="I895" s="24"/>
      <x:c r="J895" s="7"/>
      <x:c r="K895" s="8" t="str">
        <x:f>IF(A895="","",DATE(YEAR(A895),MONTH(A895),1))</x:f>
      </x:c>
    </x:row>
    <x:row r="896">
      <x:c r="A896" s="9"/>
      <x:c r="B896" s="7"/>
      <x:c r="C896" s="7" t="str">
        <x:f>IF(B896="","",XLOOKUP(B896,Employees!$A$4:$A$53,Employees!$B$4:$B$53,""))</x:f>
      </x:c>
      <x:c r="D896" s="7"/>
      <x:c r="E896" s="10" t="n">
        <x:v>8</x:v>
      </x:c>
      <x:c r="F896" s="10"/>
      <x:c r="G896" s="10" t="str">
        <x:f>IF(F896="","",MIN(F896,E896))</x:f>
      </x:c>
      <x:c r="H896" s="10" t="str">
        <x:f>IF(F896="","",MAX(0,F896-E896))</x:f>
      </x:c>
      <x:c r="I896" s="24"/>
      <x:c r="J896" s="7"/>
      <x:c r="K896" s="8" t="str">
        <x:f>IF(A896="","",DATE(YEAR(A896),MONTH(A896),1))</x:f>
      </x:c>
    </x:row>
    <x:row r="897">
      <x:c r="A897" s="9"/>
      <x:c r="B897" s="7"/>
      <x:c r="C897" s="7" t="str">
        <x:f>IF(B897="","",XLOOKUP(B897,Employees!$A$4:$A$53,Employees!$B$4:$B$53,""))</x:f>
      </x:c>
      <x:c r="D897" s="7"/>
      <x:c r="E897" s="10" t="n">
        <x:v>8</x:v>
      </x:c>
      <x:c r="F897" s="10"/>
      <x:c r="G897" s="10" t="str">
        <x:f>IF(F897="","",MIN(F897,E897))</x:f>
      </x:c>
      <x:c r="H897" s="10" t="str">
        <x:f>IF(F897="","",MAX(0,F897-E897))</x:f>
      </x:c>
      <x:c r="I897" s="24"/>
      <x:c r="J897" s="7"/>
      <x:c r="K897" s="8" t="str">
        <x:f>IF(A897="","",DATE(YEAR(A897),MONTH(A897),1))</x:f>
      </x:c>
    </x:row>
    <x:row r="898">
      <x:c r="A898" s="9"/>
      <x:c r="B898" s="7"/>
      <x:c r="C898" s="7" t="str">
        <x:f>IF(B898="","",XLOOKUP(B898,Employees!$A$4:$A$53,Employees!$B$4:$B$53,""))</x:f>
      </x:c>
      <x:c r="D898" s="7"/>
      <x:c r="E898" s="10" t="n">
        <x:v>8</x:v>
      </x:c>
      <x:c r="F898" s="10"/>
      <x:c r="G898" s="10" t="str">
        <x:f>IF(F898="","",MIN(F898,E898))</x:f>
      </x:c>
      <x:c r="H898" s="10" t="str">
        <x:f>IF(F898="","",MAX(0,F898-E898))</x:f>
      </x:c>
      <x:c r="I898" s="24"/>
      <x:c r="J898" s="7"/>
      <x:c r="K898" s="8" t="str">
        <x:f>IF(A898="","",DATE(YEAR(A898),MONTH(A898),1))</x:f>
      </x:c>
    </x:row>
    <x:row r="899">
      <x:c r="A899" s="9"/>
      <x:c r="B899" s="7"/>
      <x:c r="C899" s="7" t="str">
        <x:f>IF(B899="","",XLOOKUP(B899,Employees!$A$4:$A$53,Employees!$B$4:$B$53,""))</x:f>
      </x:c>
      <x:c r="D899" s="7"/>
      <x:c r="E899" s="10" t="n">
        <x:v>8</x:v>
      </x:c>
      <x:c r="F899" s="10"/>
      <x:c r="G899" s="10" t="str">
        <x:f>IF(F899="","",MIN(F899,E899))</x:f>
      </x:c>
      <x:c r="H899" s="10" t="str">
        <x:f>IF(F899="","",MAX(0,F899-E899))</x:f>
      </x:c>
      <x:c r="I899" s="24"/>
      <x:c r="J899" s="7"/>
      <x:c r="K899" s="8" t="str">
        <x:f>IF(A899="","",DATE(YEAR(A899),MONTH(A899),1))</x:f>
      </x:c>
    </x:row>
    <x:row r="900">
      <x:c r="A900" s="9"/>
      <x:c r="B900" s="7"/>
      <x:c r="C900" s="7" t="str">
        <x:f>IF(B900="","",XLOOKUP(B900,Employees!$A$4:$A$53,Employees!$B$4:$B$53,""))</x:f>
      </x:c>
      <x:c r="D900" s="7"/>
      <x:c r="E900" s="10" t="n">
        <x:v>8</x:v>
      </x:c>
      <x:c r="F900" s="10"/>
      <x:c r="G900" s="10" t="str">
        <x:f>IF(F900="","",MIN(F900,E900))</x:f>
      </x:c>
      <x:c r="H900" s="10" t="str">
        <x:f>IF(F900="","",MAX(0,F900-E900))</x:f>
      </x:c>
      <x:c r="I900" s="24"/>
      <x:c r="J900" s="7"/>
      <x:c r="K900" s="8" t="str">
        <x:f>IF(A900="","",DATE(YEAR(A900),MONTH(A900),1))</x:f>
      </x:c>
    </x:row>
    <x:row r="901">
      <x:c r="A901" s="9"/>
      <x:c r="B901" s="7"/>
      <x:c r="C901" s="7" t="str">
        <x:f>IF(B901="","",XLOOKUP(B901,Employees!$A$4:$A$53,Employees!$B$4:$B$53,""))</x:f>
      </x:c>
      <x:c r="D901" s="7"/>
      <x:c r="E901" s="10" t="n">
        <x:v>8</x:v>
      </x:c>
      <x:c r="F901" s="10"/>
      <x:c r="G901" s="10" t="str">
        <x:f>IF(F901="","",MIN(F901,E901))</x:f>
      </x:c>
      <x:c r="H901" s="10" t="str">
        <x:f>IF(F901="","",MAX(0,F901-E901))</x:f>
      </x:c>
      <x:c r="I901" s="24"/>
      <x:c r="J901" s="7"/>
      <x:c r="K901" s="8" t="str">
        <x:f>IF(A901="","",DATE(YEAR(A901),MONTH(A901),1))</x:f>
      </x:c>
    </x:row>
    <x:row r="902">
      <x:c r="A902" s="9"/>
      <x:c r="B902" s="7"/>
      <x:c r="C902" s="7" t="str">
        <x:f>IF(B902="","",XLOOKUP(B902,Employees!$A$4:$A$53,Employees!$B$4:$B$53,""))</x:f>
      </x:c>
      <x:c r="D902" s="7"/>
      <x:c r="E902" s="10" t="n">
        <x:v>8</x:v>
      </x:c>
      <x:c r="F902" s="10"/>
      <x:c r="G902" s="10" t="str">
        <x:f>IF(F902="","",MIN(F902,E902))</x:f>
      </x:c>
      <x:c r="H902" s="10" t="str">
        <x:f>IF(F902="","",MAX(0,F902-E902))</x:f>
      </x:c>
      <x:c r="I902" s="24"/>
      <x:c r="J902" s="7"/>
      <x:c r="K902" s="8" t="str">
        <x:f>IF(A902="","",DATE(YEAR(A902),MONTH(A902),1))</x:f>
      </x:c>
    </x:row>
    <x:row r="903">
      <x:c r="A903" s="9"/>
      <x:c r="B903" s="7"/>
      <x:c r="C903" s="7" t="str">
        <x:f>IF(B903="","",XLOOKUP(B903,Employees!$A$4:$A$53,Employees!$B$4:$B$53,""))</x:f>
      </x:c>
      <x:c r="D903" s="7"/>
      <x:c r="E903" s="10" t="n">
        <x:v>8</x:v>
      </x:c>
      <x:c r="F903" s="10"/>
      <x:c r="G903" s="10" t="str">
        <x:f>IF(F903="","",MIN(F903,E903))</x:f>
      </x:c>
      <x:c r="H903" s="10" t="str">
        <x:f>IF(F903="","",MAX(0,F903-E903))</x:f>
      </x:c>
      <x:c r="I903" s="24"/>
      <x:c r="J903" s="7"/>
      <x:c r="K903" s="8" t="str">
        <x:f>IF(A903="","",DATE(YEAR(A903),MONTH(A903),1))</x:f>
      </x:c>
    </x:row>
    <x:row r="904">
      <x:c r="A904" s="9"/>
      <x:c r="B904" s="7"/>
      <x:c r="C904" s="7" t="str">
        <x:f>IF(B904="","",XLOOKUP(B904,Employees!$A$4:$A$53,Employees!$B$4:$B$53,""))</x:f>
      </x:c>
      <x:c r="D904" s="7"/>
      <x:c r="E904" s="10" t="n">
        <x:v>8</x:v>
      </x:c>
      <x:c r="F904" s="10"/>
      <x:c r="G904" s="10" t="str">
        <x:f>IF(F904="","",MIN(F904,E904))</x:f>
      </x:c>
      <x:c r="H904" s="10" t="str">
        <x:f>IF(F904="","",MAX(0,F904-E904))</x:f>
      </x:c>
      <x:c r="I904" s="24"/>
      <x:c r="J904" s="7"/>
      <x:c r="K904" s="8" t="str">
        <x:f>IF(A904="","",DATE(YEAR(A904),MONTH(A904),1))</x:f>
      </x:c>
    </x:row>
    <x:row r="905">
      <x:c r="A905" s="9"/>
      <x:c r="B905" s="7"/>
      <x:c r="C905" s="7" t="str">
        <x:f>IF(B905="","",XLOOKUP(B905,Employees!$A$4:$A$53,Employees!$B$4:$B$53,""))</x:f>
      </x:c>
      <x:c r="D905" s="7"/>
      <x:c r="E905" s="10" t="n">
        <x:v>8</x:v>
      </x:c>
      <x:c r="F905" s="10"/>
      <x:c r="G905" s="10" t="str">
        <x:f>IF(F905="","",MIN(F905,E905))</x:f>
      </x:c>
      <x:c r="H905" s="10" t="str">
        <x:f>IF(F905="","",MAX(0,F905-E905))</x:f>
      </x:c>
      <x:c r="I905" s="24"/>
      <x:c r="J905" s="7"/>
      <x:c r="K905" s="8" t="str">
        <x:f>IF(A905="","",DATE(YEAR(A905),MONTH(A905),1))</x:f>
      </x:c>
    </x:row>
    <x:row r="906">
      <x:c r="A906" s="9"/>
      <x:c r="B906" s="7"/>
      <x:c r="C906" s="7" t="str">
        <x:f>IF(B906="","",XLOOKUP(B906,Employees!$A$4:$A$53,Employees!$B$4:$B$53,""))</x:f>
      </x:c>
      <x:c r="D906" s="7"/>
      <x:c r="E906" s="10" t="n">
        <x:v>8</x:v>
      </x:c>
      <x:c r="F906" s="10"/>
      <x:c r="G906" s="10" t="str">
        <x:f>IF(F906="","",MIN(F906,E906))</x:f>
      </x:c>
      <x:c r="H906" s="10" t="str">
        <x:f>IF(F906="","",MAX(0,F906-E906))</x:f>
      </x:c>
      <x:c r="I906" s="24"/>
      <x:c r="J906" s="7"/>
      <x:c r="K906" s="8" t="str">
        <x:f>IF(A906="","",DATE(YEAR(A906),MONTH(A906),1))</x:f>
      </x:c>
    </x:row>
    <x:row r="907">
      <x:c r="A907" s="9"/>
      <x:c r="B907" s="7"/>
      <x:c r="C907" s="7" t="str">
        <x:f>IF(B907="","",XLOOKUP(B907,Employees!$A$4:$A$53,Employees!$B$4:$B$53,""))</x:f>
      </x:c>
      <x:c r="D907" s="7"/>
      <x:c r="E907" s="10" t="n">
        <x:v>8</x:v>
      </x:c>
      <x:c r="F907" s="10"/>
      <x:c r="G907" s="10" t="str">
        <x:f>IF(F907="","",MIN(F907,E907))</x:f>
      </x:c>
      <x:c r="H907" s="10" t="str">
        <x:f>IF(F907="","",MAX(0,F907-E907))</x:f>
      </x:c>
      <x:c r="I907" s="24"/>
      <x:c r="J907" s="7"/>
      <x:c r="K907" s="8" t="str">
        <x:f>IF(A907="","",DATE(YEAR(A907),MONTH(A907),1))</x:f>
      </x:c>
    </x:row>
    <x:row r="908">
      <x:c r="A908" s="9"/>
      <x:c r="B908" s="7"/>
      <x:c r="C908" s="7" t="str">
        <x:f>IF(B908="","",XLOOKUP(B908,Employees!$A$4:$A$53,Employees!$B$4:$B$53,""))</x:f>
      </x:c>
      <x:c r="D908" s="7"/>
      <x:c r="E908" s="10" t="n">
        <x:v>8</x:v>
      </x:c>
      <x:c r="F908" s="10"/>
      <x:c r="G908" s="10" t="str">
        <x:f>IF(F908="","",MIN(F908,E908))</x:f>
      </x:c>
      <x:c r="H908" s="10" t="str">
        <x:f>IF(F908="","",MAX(0,F908-E908))</x:f>
      </x:c>
      <x:c r="I908" s="24"/>
      <x:c r="J908" s="7"/>
      <x:c r="K908" s="8" t="str">
        <x:f>IF(A908="","",DATE(YEAR(A908),MONTH(A908),1))</x:f>
      </x:c>
    </x:row>
    <x:row r="909">
      <x:c r="A909" s="9"/>
      <x:c r="B909" s="7"/>
      <x:c r="C909" s="7" t="str">
        <x:f>IF(B909="","",XLOOKUP(B909,Employees!$A$4:$A$53,Employees!$B$4:$B$53,""))</x:f>
      </x:c>
      <x:c r="D909" s="7"/>
      <x:c r="E909" s="10" t="n">
        <x:v>8</x:v>
      </x:c>
      <x:c r="F909" s="10"/>
      <x:c r="G909" s="10" t="str">
        <x:f>IF(F909="","",MIN(F909,E909))</x:f>
      </x:c>
      <x:c r="H909" s="10" t="str">
        <x:f>IF(F909="","",MAX(0,F909-E909))</x:f>
      </x:c>
      <x:c r="I909" s="24"/>
      <x:c r="J909" s="7"/>
      <x:c r="K909" s="8" t="str">
        <x:f>IF(A909="","",DATE(YEAR(A909),MONTH(A909),1))</x:f>
      </x:c>
    </x:row>
    <x:row r="910">
      <x:c r="A910" s="9"/>
      <x:c r="B910" s="7"/>
      <x:c r="C910" s="7" t="str">
        <x:f>IF(B910="","",XLOOKUP(B910,Employees!$A$4:$A$53,Employees!$B$4:$B$53,""))</x:f>
      </x:c>
      <x:c r="D910" s="7"/>
      <x:c r="E910" s="10" t="n">
        <x:v>8</x:v>
      </x:c>
      <x:c r="F910" s="10"/>
      <x:c r="G910" s="10" t="str">
        <x:f>IF(F910="","",MIN(F910,E910))</x:f>
      </x:c>
      <x:c r="H910" s="10" t="str">
        <x:f>IF(F910="","",MAX(0,F910-E910))</x:f>
      </x:c>
      <x:c r="I910" s="24"/>
      <x:c r="J910" s="7"/>
      <x:c r="K910" s="8" t="str">
        <x:f>IF(A910="","",DATE(YEAR(A910),MONTH(A910),1))</x:f>
      </x:c>
    </x:row>
    <x:row r="911">
      <x:c r="A911" s="9"/>
      <x:c r="B911" s="7"/>
      <x:c r="C911" s="7" t="str">
        <x:f>IF(B911="","",XLOOKUP(B911,Employees!$A$4:$A$53,Employees!$B$4:$B$53,""))</x:f>
      </x:c>
      <x:c r="D911" s="7"/>
      <x:c r="E911" s="10" t="n">
        <x:v>8</x:v>
      </x:c>
      <x:c r="F911" s="10"/>
      <x:c r="G911" s="10" t="str">
        <x:f>IF(F911="","",MIN(F911,E911))</x:f>
      </x:c>
      <x:c r="H911" s="10" t="str">
        <x:f>IF(F911="","",MAX(0,F911-E911))</x:f>
      </x:c>
      <x:c r="I911" s="24"/>
      <x:c r="J911" s="7"/>
      <x:c r="K911" s="8" t="str">
        <x:f>IF(A911="","",DATE(YEAR(A911),MONTH(A911),1))</x:f>
      </x:c>
    </x:row>
    <x:row r="912">
      <x:c r="A912" s="9"/>
      <x:c r="B912" s="7"/>
      <x:c r="C912" s="7" t="str">
        <x:f>IF(B912="","",XLOOKUP(B912,Employees!$A$4:$A$53,Employees!$B$4:$B$53,""))</x:f>
      </x:c>
      <x:c r="D912" s="7"/>
      <x:c r="E912" s="10" t="n">
        <x:v>8</x:v>
      </x:c>
      <x:c r="F912" s="10"/>
      <x:c r="G912" s="10" t="str">
        <x:f>IF(F912="","",MIN(F912,E912))</x:f>
      </x:c>
      <x:c r="H912" s="10" t="str">
        <x:f>IF(F912="","",MAX(0,F912-E912))</x:f>
      </x:c>
      <x:c r="I912" s="24"/>
      <x:c r="J912" s="7"/>
      <x:c r="K912" s="8" t="str">
        <x:f>IF(A912="","",DATE(YEAR(A912),MONTH(A912),1))</x:f>
      </x:c>
    </x:row>
    <x:row r="913">
      <x:c r="A913" s="9"/>
      <x:c r="B913" s="7"/>
      <x:c r="C913" s="7" t="str">
        <x:f>IF(B913="","",XLOOKUP(B913,Employees!$A$4:$A$53,Employees!$B$4:$B$53,""))</x:f>
      </x:c>
      <x:c r="D913" s="7"/>
      <x:c r="E913" s="10" t="n">
        <x:v>8</x:v>
      </x:c>
      <x:c r="F913" s="10"/>
      <x:c r="G913" s="10" t="str">
        <x:f>IF(F913="","",MIN(F913,E913))</x:f>
      </x:c>
      <x:c r="H913" s="10" t="str">
        <x:f>IF(F913="","",MAX(0,F913-E913))</x:f>
      </x:c>
      <x:c r="I913" s="24"/>
      <x:c r="J913" s="7"/>
      <x:c r="K913" s="8" t="str">
        <x:f>IF(A913="","",DATE(YEAR(A913),MONTH(A913),1))</x:f>
      </x:c>
    </x:row>
    <x:row r="914">
      <x:c r="A914" s="9"/>
      <x:c r="B914" s="7"/>
      <x:c r="C914" s="7" t="str">
        <x:f>IF(B914="","",XLOOKUP(B914,Employees!$A$4:$A$53,Employees!$B$4:$B$53,""))</x:f>
      </x:c>
      <x:c r="D914" s="7"/>
      <x:c r="E914" s="10" t="n">
        <x:v>8</x:v>
      </x:c>
      <x:c r="F914" s="10"/>
      <x:c r="G914" s="10" t="str">
        <x:f>IF(F914="","",MIN(F914,E914))</x:f>
      </x:c>
      <x:c r="H914" s="10" t="str">
        <x:f>IF(F914="","",MAX(0,F914-E914))</x:f>
      </x:c>
      <x:c r="I914" s="24"/>
      <x:c r="J914" s="7"/>
      <x:c r="K914" s="8" t="str">
        <x:f>IF(A914="","",DATE(YEAR(A914),MONTH(A914),1))</x:f>
      </x:c>
    </x:row>
    <x:row r="915">
      <x:c r="A915" s="9"/>
      <x:c r="B915" s="7"/>
      <x:c r="C915" s="7" t="str">
        <x:f>IF(B915="","",XLOOKUP(B915,Employees!$A$4:$A$53,Employees!$B$4:$B$53,""))</x:f>
      </x:c>
      <x:c r="D915" s="7"/>
      <x:c r="E915" s="10" t="n">
        <x:v>8</x:v>
      </x:c>
      <x:c r="F915" s="10"/>
      <x:c r="G915" s="10" t="str">
        <x:f>IF(F915="","",MIN(F915,E915))</x:f>
      </x:c>
      <x:c r="H915" s="10" t="str">
        <x:f>IF(F915="","",MAX(0,F915-E915))</x:f>
      </x:c>
      <x:c r="I915" s="24"/>
      <x:c r="J915" s="7"/>
      <x:c r="K915" s="8" t="str">
        <x:f>IF(A915="","",DATE(YEAR(A915),MONTH(A915),1))</x:f>
      </x:c>
    </x:row>
    <x:row r="916">
      <x:c r="A916" s="9"/>
      <x:c r="B916" s="7"/>
      <x:c r="C916" s="7" t="str">
        <x:f>IF(B916="","",XLOOKUP(B916,Employees!$A$4:$A$53,Employees!$B$4:$B$53,""))</x:f>
      </x:c>
      <x:c r="D916" s="7"/>
      <x:c r="E916" s="10" t="n">
        <x:v>8</x:v>
      </x:c>
      <x:c r="F916" s="10"/>
      <x:c r="G916" s="10" t="str">
        <x:f>IF(F916="","",MIN(F916,E916))</x:f>
      </x:c>
      <x:c r="H916" s="10" t="str">
        <x:f>IF(F916="","",MAX(0,F916-E916))</x:f>
      </x:c>
      <x:c r="I916" s="24"/>
      <x:c r="J916" s="7"/>
      <x:c r="K916" s="8" t="str">
        <x:f>IF(A916="","",DATE(YEAR(A916),MONTH(A916),1))</x:f>
      </x:c>
    </x:row>
    <x:row r="917">
      <x:c r="A917" s="9"/>
      <x:c r="B917" s="7"/>
      <x:c r="C917" s="7" t="str">
        <x:f>IF(B917="","",XLOOKUP(B917,Employees!$A$4:$A$53,Employees!$B$4:$B$53,""))</x:f>
      </x:c>
      <x:c r="D917" s="7"/>
      <x:c r="E917" s="10" t="n">
        <x:v>8</x:v>
      </x:c>
      <x:c r="F917" s="10"/>
      <x:c r="G917" s="10" t="str">
        <x:f>IF(F917="","",MIN(F917,E917))</x:f>
      </x:c>
      <x:c r="H917" s="10" t="str">
        <x:f>IF(F917="","",MAX(0,F917-E917))</x:f>
      </x:c>
      <x:c r="I917" s="24"/>
      <x:c r="J917" s="7"/>
      <x:c r="K917" s="8" t="str">
        <x:f>IF(A917="","",DATE(YEAR(A917),MONTH(A917),1))</x:f>
      </x:c>
    </x:row>
    <x:row r="918">
      <x:c r="A918" s="9"/>
      <x:c r="B918" s="7"/>
      <x:c r="C918" s="7" t="str">
        <x:f>IF(B918="","",XLOOKUP(B918,Employees!$A$4:$A$53,Employees!$B$4:$B$53,""))</x:f>
      </x:c>
      <x:c r="D918" s="7"/>
      <x:c r="E918" s="10" t="n">
        <x:v>8</x:v>
      </x:c>
      <x:c r="F918" s="10"/>
      <x:c r="G918" s="10" t="str">
        <x:f>IF(F918="","",MIN(F918,E918))</x:f>
      </x:c>
      <x:c r="H918" s="10" t="str">
        <x:f>IF(F918="","",MAX(0,F918-E918))</x:f>
      </x:c>
      <x:c r="I918" s="24"/>
      <x:c r="J918" s="7"/>
      <x:c r="K918" s="8" t="str">
        <x:f>IF(A918="","",DATE(YEAR(A918),MONTH(A918),1))</x:f>
      </x:c>
    </x:row>
    <x:row r="919">
      <x:c r="A919" s="9"/>
      <x:c r="B919" s="7"/>
      <x:c r="C919" s="7" t="str">
        <x:f>IF(B919="","",XLOOKUP(B919,Employees!$A$4:$A$53,Employees!$B$4:$B$53,""))</x:f>
      </x:c>
      <x:c r="D919" s="7"/>
      <x:c r="E919" s="10" t="n">
        <x:v>8</x:v>
      </x:c>
      <x:c r="F919" s="10"/>
      <x:c r="G919" s="10" t="str">
        <x:f>IF(F919="","",MIN(F919,E919))</x:f>
      </x:c>
      <x:c r="H919" s="10" t="str">
        <x:f>IF(F919="","",MAX(0,F919-E919))</x:f>
      </x:c>
      <x:c r="I919" s="24"/>
      <x:c r="J919" s="7"/>
      <x:c r="K919" s="8" t="str">
        <x:f>IF(A919="","",DATE(YEAR(A919),MONTH(A919),1))</x:f>
      </x:c>
    </x:row>
    <x:row r="920">
      <x:c r="A920" s="9"/>
      <x:c r="B920" s="7"/>
      <x:c r="C920" s="7" t="str">
        <x:f>IF(B920="","",XLOOKUP(B920,Employees!$A$4:$A$53,Employees!$B$4:$B$53,""))</x:f>
      </x:c>
      <x:c r="D920" s="7"/>
      <x:c r="E920" s="10" t="n">
        <x:v>8</x:v>
      </x:c>
      <x:c r="F920" s="10"/>
      <x:c r="G920" s="10" t="str">
        <x:f>IF(F920="","",MIN(F920,E920))</x:f>
      </x:c>
      <x:c r="H920" s="10" t="str">
        <x:f>IF(F920="","",MAX(0,F920-E920))</x:f>
      </x:c>
      <x:c r="I920" s="24"/>
      <x:c r="J920" s="7"/>
      <x:c r="K920" s="8" t="str">
        <x:f>IF(A920="","",DATE(YEAR(A920),MONTH(A920),1))</x:f>
      </x:c>
    </x:row>
    <x:row r="921">
      <x:c r="A921" s="9"/>
      <x:c r="B921" s="7"/>
      <x:c r="C921" s="7" t="str">
        <x:f>IF(B921="","",XLOOKUP(B921,Employees!$A$4:$A$53,Employees!$B$4:$B$53,""))</x:f>
      </x:c>
      <x:c r="D921" s="7"/>
      <x:c r="E921" s="10" t="n">
        <x:v>8</x:v>
      </x:c>
      <x:c r="F921" s="10"/>
      <x:c r="G921" s="10" t="str">
        <x:f>IF(F921="","",MIN(F921,E921))</x:f>
      </x:c>
      <x:c r="H921" s="10" t="str">
        <x:f>IF(F921="","",MAX(0,F921-E921))</x:f>
      </x:c>
      <x:c r="I921" s="24"/>
      <x:c r="J921" s="7"/>
      <x:c r="K921" s="8" t="str">
        <x:f>IF(A921="","",DATE(YEAR(A921),MONTH(A921),1))</x:f>
      </x:c>
    </x:row>
    <x:row r="922">
      <x:c r="A922" s="9"/>
      <x:c r="B922" s="7"/>
      <x:c r="C922" s="7" t="str">
        <x:f>IF(B922="","",XLOOKUP(B922,Employees!$A$4:$A$53,Employees!$B$4:$B$53,""))</x:f>
      </x:c>
      <x:c r="D922" s="7"/>
      <x:c r="E922" s="10" t="n">
        <x:v>8</x:v>
      </x:c>
      <x:c r="F922" s="10"/>
      <x:c r="G922" s="10" t="str">
        <x:f>IF(F922="","",MIN(F922,E922))</x:f>
      </x:c>
      <x:c r="H922" s="10" t="str">
        <x:f>IF(F922="","",MAX(0,F922-E922))</x:f>
      </x:c>
      <x:c r="I922" s="24"/>
      <x:c r="J922" s="7"/>
      <x:c r="K922" s="8" t="str">
        <x:f>IF(A922="","",DATE(YEAR(A922),MONTH(A922),1))</x:f>
      </x:c>
    </x:row>
    <x:row r="923">
      <x:c r="A923" s="9"/>
      <x:c r="B923" s="7"/>
      <x:c r="C923" s="7" t="str">
        <x:f>IF(B923="","",XLOOKUP(B923,Employees!$A$4:$A$53,Employees!$B$4:$B$53,""))</x:f>
      </x:c>
      <x:c r="D923" s="7"/>
      <x:c r="E923" s="10" t="n">
        <x:v>8</x:v>
      </x:c>
      <x:c r="F923" s="10"/>
      <x:c r="G923" s="10" t="str">
        <x:f>IF(F923="","",MIN(F923,E923))</x:f>
      </x:c>
      <x:c r="H923" s="10" t="str">
        <x:f>IF(F923="","",MAX(0,F923-E923))</x:f>
      </x:c>
      <x:c r="I923" s="24"/>
      <x:c r="J923" s="7"/>
      <x:c r="K923" s="8" t="str">
        <x:f>IF(A923="","",DATE(YEAR(A923),MONTH(A923),1))</x:f>
      </x:c>
    </x:row>
    <x:row r="924">
      <x:c r="A924" s="9"/>
      <x:c r="B924" s="7"/>
      <x:c r="C924" s="7" t="str">
        <x:f>IF(B924="","",XLOOKUP(B924,Employees!$A$4:$A$53,Employees!$B$4:$B$53,""))</x:f>
      </x:c>
      <x:c r="D924" s="7"/>
      <x:c r="E924" s="10" t="n">
        <x:v>8</x:v>
      </x:c>
      <x:c r="F924" s="10"/>
      <x:c r="G924" s="10" t="str">
        <x:f>IF(F924="","",MIN(F924,E924))</x:f>
      </x:c>
      <x:c r="H924" s="10" t="str">
        <x:f>IF(F924="","",MAX(0,F924-E924))</x:f>
      </x:c>
      <x:c r="I924" s="24"/>
      <x:c r="J924" s="7"/>
      <x:c r="K924" s="8" t="str">
        <x:f>IF(A924="","",DATE(YEAR(A924),MONTH(A924),1))</x:f>
      </x:c>
    </x:row>
    <x:row r="925">
      <x:c r="A925" s="9"/>
      <x:c r="B925" s="7"/>
      <x:c r="C925" s="7" t="str">
        <x:f>IF(B925="","",XLOOKUP(B925,Employees!$A$4:$A$53,Employees!$B$4:$B$53,""))</x:f>
      </x:c>
      <x:c r="D925" s="7"/>
      <x:c r="E925" s="10" t="n">
        <x:v>8</x:v>
      </x:c>
      <x:c r="F925" s="10"/>
      <x:c r="G925" s="10" t="str">
        <x:f>IF(F925="","",MIN(F925,E925))</x:f>
      </x:c>
      <x:c r="H925" s="10" t="str">
        <x:f>IF(F925="","",MAX(0,F925-E925))</x:f>
      </x:c>
      <x:c r="I925" s="24"/>
      <x:c r="J925" s="7"/>
      <x:c r="K925" s="8" t="str">
        <x:f>IF(A925="","",DATE(YEAR(A925),MONTH(A925),1))</x:f>
      </x:c>
    </x:row>
    <x:row r="926">
      <x:c r="A926" s="9"/>
      <x:c r="B926" s="7"/>
      <x:c r="C926" s="7" t="str">
        <x:f>IF(B926="","",XLOOKUP(B926,Employees!$A$4:$A$53,Employees!$B$4:$B$53,""))</x:f>
      </x:c>
      <x:c r="D926" s="7"/>
      <x:c r="E926" s="10" t="n">
        <x:v>8</x:v>
      </x:c>
      <x:c r="F926" s="10"/>
      <x:c r="G926" s="10" t="str">
        <x:f>IF(F926="","",MIN(F926,E926))</x:f>
      </x:c>
      <x:c r="H926" s="10" t="str">
        <x:f>IF(F926="","",MAX(0,F926-E926))</x:f>
      </x:c>
      <x:c r="I926" s="24"/>
      <x:c r="J926" s="7"/>
      <x:c r="K926" s="8" t="str">
        <x:f>IF(A926="","",DATE(YEAR(A926),MONTH(A926),1))</x:f>
      </x:c>
    </x:row>
    <x:row r="927">
      <x:c r="A927" s="9"/>
      <x:c r="B927" s="7"/>
      <x:c r="C927" s="7" t="str">
        <x:f>IF(B927="","",XLOOKUP(B927,Employees!$A$4:$A$53,Employees!$B$4:$B$53,""))</x:f>
      </x:c>
      <x:c r="D927" s="7"/>
      <x:c r="E927" s="10" t="n">
        <x:v>8</x:v>
      </x:c>
      <x:c r="F927" s="10"/>
      <x:c r="G927" s="10" t="str">
        <x:f>IF(F927="","",MIN(F927,E927))</x:f>
      </x:c>
      <x:c r="H927" s="10" t="str">
        <x:f>IF(F927="","",MAX(0,F927-E927))</x:f>
      </x:c>
      <x:c r="I927" s="24"/>
      <x:c r="J927" s="7"/>
      <x:c r="K927" s="8" t="str">
        <x:f>IF(A927="","",DATE(YEAR(A927),MONTH(A927),1))</x:f>
      </x:c>
    </x:row>
    <x:row r="928">
      <x:c r="A928" s="9"/>
      <x:c r="B928" s="7"/>
      <x:c r="C928" s="7" t="str">
        <x:f>IF(B928="","",XLOOKUP(B928,Employees!$A$4:$A$53,Employees!$B$4:$B$53,""))</x:f>
      </x:c>
      <x:c r="D928" s="7"/>
      <x:c r="E928" s="10" t="n">
        <x:v>8</x:v>
      </x:c>
      <x:c r="F928" s="10"/>
      <x:c r="G928" s="10" t="str">
        <x:f>IF(F928="","",MIN(F928,E928))</x:f>
      </x:c>
      <x:c r="H928" s="10" t="str">
        <x:f>IF(F928="","",MAX(0,F928-E928))</x:f>
      </x:c>
      <x:c r="I928" s="24"/>
      <x:c r="J928" s="7"/>
      <x:c r="K928" s="8" t="str">
        <x:f>IF(A928="","",DATE(YEAR(A928),MONTH(A928),1))</x:f>
      </x:c>
    </x:row>
    <x:row r="929">
      <x:c r="A929" s="9"/>
      <x:c r="B929" s="7"/>
      <x:c r="C929" s="7" t="str">
        <x:f>IF(B929="","",XLOOKUP(B929,Employees!$A$4:$A$53,Employees!$B$4:$B$53,""))</x:f>
      </x:c>
      <x:c r="D929" s="7"/>
      <x:c r="E929" s="10" t="n">
        <x:v>8</x:v>
      </x:c>
      <x:c r="F929" s="10"/>
      <x:c r="G929" s="10" t="str">
        <x:f>IF(F929="","",MIN(F929,E929))</x:f>
      </x:c>
      <x:c r="H929" s="10" t="str">
        <x:f>IF(F929="","",MAX(0,F929-E929))</x:f>
      </x:c>
      <x:c r="I929" s="24"/>
      <x:c r="J929" s="7"/>
      <x:c r="K929" s="8" t="str">
        <x:f>IF(A929="","",DATE(YEAR(A929),MONTH(A929),1))</x:f>
      </x:c>
    </x:row>
    <x:row r="930">
      <x:c r="A930" s="9"/>
      <x:c r="B930" s="7"/>
      <x:c r="C930" s="7" t="str">
        <x:f>IF(B930="","",XLOOKUP(B930,Employees!$A$4:$A$53,Employees!$B$4:$B$53,""))</x:f>
      </x:c>
      <x:c r="D930" s="7"/>
      <x:c r="E930" s="10" t="n">
        <x:v>8</x:v>
      </x:c>
      <x:c r="F930" s="10"/>
      <x:c r="G930" s="10" t="str">
        <x:f>IF(F930="","",MIN(F930,E930))</x:f>
      </x:c>
      <x:c r="H930" s="10" t="str">
        <x:f>IF(F930="","",MAX(0,F930-E930))</x:f>
      </x:c>
      <x:c r="I930" s="24"/>
      <x:c r="J930" s="7"/>
      <x:c r="K930" s="8" t="str">
        <x:f>IF(A930="","",DATE(YEAR(A930),MONTH(A930),1))</x:f>
      </x:c>
    </x:row>
    <x:row r="931">
      <x:c r="A931" s="9"/>
      <x:c r="B931" s="7"/>
      <x:c r="C931" s="7" t="str">
        <x:f>IF(B931="","",XLOOKUP(B931,Employees!$A$4:$A$53,Employees!$B$4:$B$53,""))</x:f>
      </x:c>
      <x:c r="D931" s="7"/>
      <x:c r="E931" s="10" t="n">
        <x:v>8</x:v>
      </x:c>
      <x:c r="F931" s="10"/>
      <x:c r="G931" s="10" t="str">
        <x:f>IF(F931="","",MIN(F931,E931))</x:f>
      </x:c>
      <x:c r="H931" s="10" t="str">
        <x:f>IF(F931="","",MAX(0,F931-E931))</x:f>
      </x:c>
      <x:c r="I931" s="24"/>
      <x:c r="J931" s="7"/>
      <x:c r="K931" s="8" t="str">
        <x:f>IF(A931="","",DATE(YEAR(A931),MONTH(A931),1))</x:f>
      </x:c>
    </x:row>
    <x:row r="932">
      <x:c r="A932" s="9"/>
      <x:c r="B932" s="7"/>
      <x:c r="C932" s="7" t="str">
        <x:f>IF(B932="","",XLOOKUP(B932,Employees!$A$4:$A$53,Employees!$B$4:$B$53,""))</x:f>
      </x:c>
      <x:c r="D932" s="7"/>
      <x:c r="E932" s="10" t="n">
        <x:v>8</x:v>
      </x:c>
      <x:c r="F932" s="10"/>
      <x:c r="G932" s="10" t="str">
        <x:f>IF(F932="","",MIN(F932,E932))</x:f>
      </x:c>
      <x:c r="H932" s="10" t="str">
        <x:f>IF(F932="","",MAX(0,F932-E932))</x:f>
      </x:c>
      <x:c r="I932" s="24"/>
      <x:c r="J932" s="7"/>
      <x:c r="K932" s="8" t="str">
        <x:f>IF(A932="","",DATE(YEAR(A932),MONTH(A932),1))</x:f>
      </x:c>
    </x:row>
    <x:row r="933">
      <x:c r="A933" s="9"/>
      <x:c r="B933" s="7"/>
      <x:c r="C933" s="7" t="str">
        <x:f>IF(B933="","",XLOOKUP(B933,Employees!$A$4:$A$53,Employees!$B$4:$B$53,""))</x:f>
      </x:c>
      <x:c r="D933" s="7"/>
      <x:c r="E933" s="10" t="n">
        <x:v>8</x:v>
      </x:c>
      <x:c r="F933" s="10"/>
      <x:c r="G933" s="10" t="str">
        <x:f>IF(F933="","",MIN(F933,E933))</x:f>
      </x:c>
      <x:c r="H933" s="10" t="str">
        <x:f>IF(F933="","",MAX(0,F933-E933))</x:f>
      </x:c>
      <x:c r="I933" s="24"/>
      <x:c r="J933" s="7"/>
      <x:c r="K933" s="8" t="str">
        <x:f>IF(A933="","",DATE(YEAR(A933),MONTH(A933),1))</x:f>
      </x:c>
    </x:row>
    <x:row r="934">
      <x:c r="A934" s="9"/>
      <x:c r="B934" s="7"/>
      <x:c r="C934" s="7" t="str">
        <x:f>IF(B934="","",XLOOKUP(B934,Employees!$A$4:$A$53,Employees!$B$4:$B$53,""))</x:f>
      </x:c>
      <x:c r="D934" s="7"/>
      <x:c r="E934" s="10" t="n">
        <x:v>8</x:v>
      </x:c>
      <x:c r="F934" s="10"/>
      <x:c r="G934" s="10" t="str">
        <x:f>IF(F934="","",MIN(F934,E934))</x:f>
      </x:c>
      <x:c r="H934" s="10" t="str">
        <x:f>IF(F934="","",MAX(0,F934-E934))</x:f>
      </x:c>
      <x:c r="I934" s="24"/>
      <x:c r="J934" s="7"/>
      <x:c r="K934" s="8" t="str">
        <x:f>IF(A934="","",DATE(YEAR(A934),MONTH(A934),1))</x:f>
      </x:c>
    </x:row>
    <x:row r="935">
      <x:c r="A935" s="9"/>
      <x:c r="B935" s="7"/>
      <x:c r="C935" s="7" t="str">
        <x:f>IF(B935="","",XLOOKUP(B935,Employees!$A$4:$A$53,Employees!$B$4:$B$53,""))</x:f>
      </x:c>
      <x:c r="D935" s="7"/>
      <x:c r="E935" s="10" t="n">
        <x:v>8</x:v>
      </x:c>
      <x:c r="F935" s="10"/>
      <x:c r="G935" s="10" t="str">
        <x:f>IF(F935="","",MIN(F935,E935))</x:f>
      </x:c>
      <x:c r="H935" s="10" t="str">
        <x:f>IF(F935="","",MAX(0,F935-E935))</x:f>
      </x:c>
      <x:c r="I935" s="24"/>
      <x:c r="J935" s="7"/>
      <x:c r="K935" s="8" t="str">
        <x:f>IF(A935="","",DATE(YEAR(A935),MONTH(A935),1))</x:f>
      </x:c>
    </x:row>
    <x:row r="936">
      <x:c r="A936" s="9"/>
      <x:c r="B936" s="7"/>
      <x:c r="C936" s="7" t="str">
        <x:f>IF(B936="","",XLOOKUP(B936,Employees!$A$4:$A$53,Employees!$B$4:$B$53,""))</x:f>
      </x:c>
      <x:c r="D936" s="7"/>
      <x:c r="E936" s="10" t="n">
        <x:v>8</x:v>
      </x:c>
      <x:c r="F936" s="10"/>
      <x:c r="G936" s="10" t="str">
        <x:f>IF(F936="","",MIN(F936,E936))</x:f>
      </x:c>
      <x:c r="H936" s="10" t="str">
        <x:f>IF(F936="","",MAX(0,F936-E936))</x:f>
      </x:c>
      <x:c r="I936" s="24"/>
      <x:c r="J936" s="7"/>
      <x:c r="K936" s="8" t="str">
        <x:f>IF(A936="","",DATE(YEAR(A936),MONTH(A936),1))</x:f>
      </x:c>
    </x:row>
    <x:row r="937">
      <x:c r="A937" s="9"/>
      <x:c r="B937" s="7"/>
      <x:c r="C937" s="7" t="str">
        <x:f>IF(B937="","",XLOOKUP(B937,Employees!$A$4:$A$53,Employees!$B$4:$B$53,""))</x:f>
      </x:c>
      <x:c r="D937" s="7"/>
      <x:c r="E937" s="10" t="n">
        <x:v>8</x:v>
      </x:c>
      <x:c r="F937" s="10"/>
      <x:c r="G937" s="10" t="str">
        <x:f>IF(F937="","",MIN(F937,E937))</x:f>
      </x:c>
      <x:c r="H937" s="10" t="str">
        <x:f>IF(F937="","",MAX(0,F937-E937))</x:f>
      </x:c>
      <x:c r="I937" s="24"/>
      <x:c r="J937" s="7"/>
      <x:c r="K937" s="8" t="str">
        <x:f>IF(A937="","",DATE(YEAR(A937),MONTH(A937),1))</x:f>
      </x:c>
    </x:row>
    <x:row r="938">
      <x:c r="A938" s="9"/>
      <x:c r="B938" s="7"/>
      <x:c r="C938" s="7" t="str">
        <x:f>IF(B938="","",XLOOKUP(B938,Employees!$A$4:$A$53,Employees!$B$4:$B$53,""))</x:f>
      </x:c>
      <x:c r="D938" s="7"/>
      <x:c r="E938" s="10" t="n">
        <x:v>8</x:v>
      </x:c>
      <x:c r="F938" s="10"/>
      <x:c r="G938" s="10" t="str">
        <x:f>IF(F938="","",MIN(F938,E938))</x:f>
      </x:c>
      <x:c r="H938" s="10" t="str">
        <x:f>IF(F938="","",MAX(0,F938-E938))</x:f>
      </x:c>
      <x:c r="I938" s="24"/>
      <x:c r="J938" s="7"/>
      <x:c r="K938" s="8" t="str">
        <x:f>IF(A938="","",DATE(YEAR(A938),MONTH(A938),1))</x:f>
      </x:c>
    </x:row>
    <x:row r="939">
      <x:c r="A939" s="9"/>
      <x:c r="B939" s="7"/>
      <x:c r="C939" s="7" t="str">
        <x:f>IF(B939="","",XLOOKUP(B939,Employees!$A$4:$A$53,Employees!$B$4:$B$53,""))</x:f>
      </x:c>
      <x:c r="D939" s="7"/>
      <x:c r="E939" s="10" t="n">
        <x:v>8</x:v>
      </x:c>
      <x:c r="F939" s="10"/>
      <x:c r="G939" s="10" t="str">
        <x:f>IF(F939="","",MIN(F939,E939))</x:f>
      </x:c>
      <x:c r="H939" s="10" t="str">
        <x:f>IF(F939="","",MAX(0,F939-E939))</x:f>
      </x:c>
      <x:c r="I939" s="24"/>
      <x:c r="J939" s="7"/>
      <x:c r="K939" s="8" t="str">
        <x:f>IF(A939="","",DATE(YEAR(A939),MONTH(A939),1))</x:f>
      </x:c>
    </x:row>
    <x:row r="940">
      <x:c r="A940" s="9"/>
      <x:c r="B940" s="7"/>
      <x:c r="C940" s="7" t="str">
        <x:f>IF(B940="","",XLOOKUP(B940,Employees!$A$4:$A$53,Employees!$B$4:$B$53,""))</x:f>
      </x:c>
      <x:c r="D940" s="7"/>
      <x:c r="E940" s="10" t="n">
        <x:v>8</x:v>
      </x:c>
      <x:c r="F940" s="10"/>
      <x:c r="G940" s="10" t="str">
        <x:f>IF(F940="","",MIN(F940,E940))</x:f>
      </x:c>
      <x:c r="H940" s="10" t="str">
        <x:f>IF(F940="","",MAX(0,F940-E940))</x:f>
      </x:c>
      <x:c r="I940" s="24"/>
      <x:c r="J940" s="7"/>
      <x:c r="K940" s="8" t="str">
        <x:f>IF(A940="","",DATE(YEAR(A940),MONTH(A940),1))</x:f>
      </x:c>
    </x:row>
    <x:row r="941">
      <x:c r="A941" s="9"/>
      <x:c r="B941" s="7"/>
      <x:c r="C941" s="7" t="str">
        <x:f>IF(B941="","",XLOOKUP(B941,Employees!$A$4:$A$53,Employees!$B$4:$B$53,""))</x:f>
      </x:c>
      <x:c r="D941" s="7"/>
      <x:c r="E941" s="10" t="n">
        <x:v>8</x:v>
      </x:c>
      <x:c r="F941" s="10"/>
      <x:c r="G941" s="10" t="str">
        <x:f>IF(F941="","",MIN(F941,E941))</x:f>
      </x:c>
      <x:c r="H941" s="10" t="str">
        <x:f>IF(F941="","",MAX(0,F941-E941))</x:f>
      </x:c>
      <x:c r="I941" s="24"/>
      <x:c r="J941" s="7"/>
      <x:c r="K941" s="8" t="str">
        <x:f>IF(A941="","",DATE(YEAR(A941),MONTH(A941),1))</x:f>
      </x:c>
    </x:row>
    <x:row r="942">
      <x:c r="A942" s="9"/>
      <x:c r="B942" s="7"/>
      <x:c r="C942" s="7" t="str">
        <x:f>IF(B942="","",XLOOKUP(B942,Employees!$A$4:$A$53,Employees!$B$4:$B$53,""))</x:f>
      </x:c>
      <x:c r="D942" s="7"/>
      <x:c r="E942" s="10" t="n">
        <x:v>8</x:v>
      </x:c>
      <x:c r="F942" s="10"/>
      <x:c r="G942" s="10" t="str">
        <x:f>IF(F942="","",MIN(F942,E942))</x:f>
      </x:c>
      <x:c r="H942" s="10" t="str">
        <x:f>IF(F942="","",MAX(0,F942-E942))</x:f>
      </x:c>
      <x:c r="I942" s="24"/>
      <x:c r="J942" s="7"/>
      <x:c r="K942" s="8" t="str">
        <x:f>IF(A942="","",DATE(YEAR(A942),MONTH(A942),1))</x:f>
      </x:c>
    </x:row>
    <x:row r="943">
      <x:c r="A943" s="9"/>
      <x:c r="B943" s="7"/>
      <x:c r="C943" s="7" t="str">
        <x:f>IF(B943="","",XLOOKUP(B943,Employees!$A$4:$A$53,Employees!$B$4:$B$53,""))</x:f>
      </x:c>
      <x:c r="D943" s="7"/>
      <x:c r="E943" s="10" t="n">
        <x:v>8</x:v>
      </x:c>
      <x:c r="F943" s="10"/>
      <x:c r="G943" s="10" t="str">
        <x:f>IF(F943="","",MIN(F943,E943))</x:f>
      </x:c>
      <x:c r="H943" s="10" t="str">
        <x:f>IF(F943="","",MAX(0,F943-E943))</x:f>
      </x:c>
      <x:c r="I943" s="24"/>
      <x:c r="J943" s="7"/>
      <x:c r="K943" s="8" t="str">
        <x:f>IF(A943="","",DATE(YEAR(A943),MONTH(A943),1))</x:f>
      </x:c>
    </x:row>
    <x:row r="944">
      <x:c r="A944" s="9"/>
      <x:c r="B944" s="7"/>
      <x:c r="C944" s="7" t="str">
        <x:f>IF(B944="","",XLOOKUP(B944,Employees!$A$4:$A$53,Employees!$B$4:$B$53,""))</x:f>
      </x:c>
      <x:c r="D944" s="7"/>
      <x:c r="E944" s="10" t="n">
        <x:v>8</x:v>
      </x:c>
      <x:c r="F944" s="10"/>
      <x:c r="G944" s="10" t="str">
        <x:f>IF(F944="","",MIN(F944,E944))</x:f>
      </x:c>
      <x:c r="H944" s="10" t="str">
        <x:f>IF(F944="","",MAX(0,F944-E944))</x:f>
      </x:c>
      <x:c r="I944" s="24"/>
      <x:c r="J944" s="7"/>
      <x:c r="K944" s="8" t="str">
        <x:f>IF(A944="","",DATE(YEAR(A944),MONTH(A944),1))</x:f>
      </x:c>
    </x:row>
    <x:row r="945">
      <x:c r="A945" s="9"/>
      <x:c r="B945" s="7"/>
      <x:c r="C945" s="7" t="str">
        <x:f>IF(B945="","",XLOOKUP(B945,Employees!$A$4:$A$53,Employees!$B$4:$B$53,""))</x:f>
      </x:c>
      <x:c r="D945" s="7"/>
      <x:c r="E945" s="10" t="n">
        <x:v>8</x:v>
      </x:c>
      <x:c r="F945" s="10"/>
      <x:c r="G945" s="10" t="str">
        <x:f>IF(F945="","",MIN(F945,E945))</x:f>
      </x:c>
      <x:c r="H945" s="10" t="str">
        <x:f>IF(F945="","",MAX(0,F945-E945))</x:f>
      </x:c>
      <x:c r="I945" s="24"/>
      <x:c r="J945" s="7"/>
      <x:c r="K945" s="8" t="str">
        <x:f>IF(A945="","",DATE(YEAR(A945),MONTH(A945),1))</x:f>
      </x:c>
    </x:row>
    <x:row r="946">
      <x:c r="A946" s="9"/>
      <x:c r="B946" s="7"/>
      <x:c r="C946" s="7" t="str">
        <x:f>IF(B946="","",XLOOKUP(B946,Employees!$A$4:$A$53,Employees!$B$4:$B$53,""))</x:f>
      </x:c>
      <x:c r="D946" s="7"/>
      <x:c r="E946" s="10" t="n">
        <x:v>8</x:v>
      </x:c>
      <x:c r="F946" s="10"/>
      <x:c r="G946" s="10" t="str">
        <x:f>IF(F946="","",MIN(F946,E946))</x:f>
      </x:c>
      <x:c r="H946" s="10" t="str">
        <x:f>IF(F946="","",MAX(0,F946-E946))</x:f>
      </x:c>
      <x:c r="I946" s="24"/>
      <x:c r="J946" s="7"/>
      <x:c r="K946" s="8" t="str">
        <x:f>IF(A946="","",DATE(YEAR(A946),MONTH(A946),1))</x:f>
      </x:c>
    </x:row>
    <x:row r="947">
      <x:c r="A947" s="9"/>
      <x:c r="B947" s="7"/>
      <x:c r="C947" s="7" t="str">
        <x:f>IF(B947="","",XLOOKUP(B947,Employees!$A$4:$A$53,Employees!$B$4:$B$53,""))</x:f>
      </x:c>
      <x:c r="D947" s="7"/>
      <x:c r="E947" s="10" t="n">
        <x:v>8</x:v>
      </x:c>
      <x:c r="F947" s="10"/>
      <x:c r="G947" s="10" t="str">
        <x:f>IF(F947="","",MIN(F947,E947))</x:f>
      </x:c>
      <x:c r="H947" s="10" t="str">
        <x:f>IF(F947="","",MAX(0,F947-E947))</x:f>
      </x:c>
      <x:c r="I947" s="24"/>
      <x:c r="J947" s="7"/>
      <x:c r="K947" s="8" t="str">
        <x:f>IF(A947="","",DATE(YEAR(A947),MONTH(A947),1))</x:f>
      </x:c>
    </x:row>
    <x:row r="948">
      <x:c r="A948" s="9"/>
      <x:c r="B948" s="7"/>
      <x:c r="C948" s="7" t="str">
        <x:f>IF(B948="","",XLOOKUP(B948,Employees!$A$4:$A$53,Employees!$B$4:$B$53,""))</x:f>
      </x:c>
      <x:c r="D948" s="7"/>
      <x:c r="E948" s="10" t="n">
        <x:v>8</x:v>
      </x:c>
      <x:c r="F948" s="10"/>
      <x:c r="G948" s="10" t="str">
        <x:f>IF(F948="","",MIN(F948,E948))</x:f>
      </x:c>
      <x:c r="H948" s="10" t="str">
        <x:f>IF(F948="","",MAX(0,F948-E948))</x:f>
      </x:c>
      <x:c r="I948" s="24"/>
      <x:c r="J948" s="7"/>
      <x:c r="K948" s="8" t="str">
        <x:f>IF(A948="","",DATE(YEAR(A948),MONTH(A948),1))</x:f>
      </x:c>
    </x:row>
    <x:row r="949">
      <x:c r="A949" s="9"/>
      <x:c r="B949" s="7"/>
      <x:c r="C949" s="7" t="str">
        <x:f>IF(B949="","",XLOOKUP(B949,Employees!$A$4:$A$53,Employees!$B$4:$B$53,""))</x:f>
      </x:c>
      <x:c r="D949" s="7"/>
      <x:c r="E949" s="10" t="n">
        <x:v>8</x:v>
      </x:c>
      <x:c r="F949" s="10"/>
      <x:c r="G949" s="10" t="str">
        <x:f>IF(F949="","",MIN(F949,E949))</x:f>
      </x:c>
      <x:c r="H949" s="10" t="str">
        <x:f>IF(F949="","",MAX(0,F949-E949))</x:f>
      </x:c>
      <x:c r="I949" s="24"/>
      <x:c r="J949" s="7"/>
      <x:c r="K949" s="8" t="str">
        <x:f>IF(A949="","",DATE(YEAR(A949),MONTH(A949),1))</x:f>
      </x:c>
    </x:row>
    <x:row r="950">
      <x:c r="A950" s="9"/>
      <x:c r="B950" s="7"/>
      <x:c r="C950" s="7" t="str">
        <x:f>IF(B950="","",XLOOKUP(B950,Employees!$A$4:$A$53,Employees!$B$4:$B$53,""))</x:f>
      </x:c>
      <x:c r="D950" s="7"/>
      <x:c r="E950" s="10" t="n">
        <x:v>8</x:v>
      </x:c>
      <x:c r="F950" s="10"/>
      <x:c r="G950" s="10" t="str">
        <x:f>IF(F950="","",MIN(F950,E950))</x:f>
      </x:c>
      <x:c r="H950" s="10" t="str">
        <x:f>IF(F950="","",MAX(0,F950-E950))</x:f>
      </x:c>
      <x:c r="I950" s="24"/>
      <x:c r="J950" s="7"/>
      <x:c r="K950" s="8" t="str">
        <x:f>IF(A950="","",DATE(YEAR(A950),MONTH(A950),1))</x:f>
      </x:c>
    </x:row>
    <x:row r="951">
      <x:c r="A951" s="9"/>
      <x:c r="B951" s="7"/>
      <x:c r="C951" s="7" t="str">
        <x:f>IF(B951="","",XLOOKUP(B951,Employees!$A$4:$A$53,Employees!$B$4:$B$53,""))</x:f>
      </x:c>
      <x:c r="D951" s="7"/>
      <x:c r="E951" s="10" t="n">
        <x:v>8</x:v>
      </x:c>
      <x:c r="F951" s="10"/>
      <x:c r="G951" s="10" t="str">
        <x:f>IF(F951="","",MIN(F951,E951))</x:f>
      </x:c>
      <x:c r="H951" s="10" t="str">
        <x:f>IF(F951="","",MAX(0,F951-E951))</x:f>
      </x:c>
      <x:c r="I951" s="24"/>
      <x:c r="J951" s="7"/>
      <x:c r="K951" s="8" t="str">
        <x:f>IF(A951="","",DATE(YEAR(A951),MONTH(A951),1))</x:f>
      </x:c>
    </x:row>
    <x:row r="952">
      <x:c r="A952" s="9"/>
      <x:c r="B952" s="7"/>
      <x:c r="C952" s="7" t="str">
        <x:f>IF(B952="","",XLOOKUP(B952,Employees!$A$4:$A$53,Employees!$B$4:$B$53,""))</x:f>
      </x:c>
      <x:c r="D952" s="7"/>
      <x:c r="E952" s="10" t="n">
        <x:v>8</x:v>
      </x:c>
      <x:c r="F952" s="10"/>
      <x:c r="G952" s="10" t="str">
        <x:f>IF(F952="","",MIN(F952,E952))</x:f>
      </x:c>
      <x:c r="H952" s="10" t="str">
        <x:f>IF(F952="","",MAX(0,F952-E952))</x:f>
      </x:c>
      <x:c r="I952" s="24"/>
      <x:c r="J952" s="7"/>
      <x:c r="K952" s="8" t="str">
        <x:f>IF(A952="","",DATE(YEAR(A952),MONTH(A952),1))</x:f>
      </x:c>
    </x:row>
    <x:row r="953">
      <x:c r="A953" s="9"/>
      <x:c r="B953" s="7"/>
      <x:c r="C953" s="7" t="str">
        <x:f>IF(B953="","",XLOOKUP(B953,Employees!$A$4:$A$53,Employees!$B$4:$B$53,""))</x:f>
      </x:c>
      <x:c r="D953" s="7"/>
      <x:c r="E953" s="10" t="n">
        <x:v>8</x:v>
      </x:c>
      <x:c r="F953" s="10"/>
      <x:c r="G953" s="10" t="str">
        <x:f>IF(F953="","",MIN(F953,E953))</x:f>
      </x:c>
      <x:c r="H953" s="10" t="str">
        <x:f>IF(F953="","",MAX(0,F953-E953))</x:f>
      </x:c>
      <x:c r="I953" s="24"/>
      <x:c r="J953" s="7"/>
      <x:c r="K953" s="8" t="str">
        <x:f>IF(A953="","",DATE(YEAR(A953),MONTH(A953),1))</x:f>
      </x:c>
    </x:row>
    <x:row r="954">
      <x:c r="A954" s="9"/>
      <x:c r="B954" s="7"/>
      <x:c r="C954" s="7" t="str">
        <x:f>IF(B954="","",XLOOKUP(B954,Employees!$A$4:$A$53,Employees!$B$4:$B$53,""))</x:f>
      </x:c>
      <x:c r="D954" s="7"/>
      <x:c r="E954" s="10" t="n">
        <x:v>8</x:v>
      </x:c>
      <x:c r="F954" s="10"/>
      <x:c r="G954" s="10" t="str">
        <x:f>IF(F954="","",MIN(F954,E954))</x:f>
      </x:c>
      <x:c r="H954" s="10" t="str">
        <x:f>IF(F954="","",MAX(0,F954-E954))</x:f>
      </x:c>
      <x:c r="I954" s="24"/>
      <x:c r="J954" s="7"/>
      <x:c r="K954" s="8" t="str">
        <x:f>IF(A954="","",DATE(YEAR(A954),MONTH(A954),1))</x:f>
      </x:c>
    </x:row>
    <x:row r="955">
      <x:c r="A955" s="9"/>
      <x:c r="B955" s="7"/>
      <x:c r="C955" s="7" t="str">
        <x:f>IF(B955="","",XLOOKUP(B955,Employees!$A$4:$A$53,Employees!$B$4:$B$53,""))</x:f>
      </x:c>
      <x:c r="D955" s="7"/>
      <x:c r="E955" s="10" t="n">
        <x:v>8</x:v>
      </x:c>
      <x:c r="F955" s="10"/>
      <x:c r="G955" s="10" t="str">
        <x:f>IF(F955="","",MIN(F955,E955))</x:f>
      </x:c>
      <x:c r="H955" s="10" t="str">
        <x:f>IF(F955="","",MAX(0,F955-E955))</x:f>
      </x:c>
      <x:c r="I955" s="24"/>
      <x:c r="J955" s="7"/>
      <x:c r="K955" s="8" t="str">
        <x:f>IF(A955="","",DATE(YEAR(A955),MONTH(A955),1))</x:f>
      </x:c>
    </x:row>
    <x:row r="956">
      <x:c r="A956" s="9"/>
      <x:c r="B956" s="7"/>
      <x:c r="C956" s="7" t="str">
        <x:f>IF(B956="","",XLOOKUP(B956,Employees!$A$4:$A$53,Employees!$B$4:$B$53,""))</x:f>
      </x:c>
      <x:c r="D956" s="7"/>
      <x:c r="E956" s="10" t="n">
        <x:v>8</x:v>
      </x:c>
      <x:c r="F956" s="10"/>
      <x:c r="G956" s="10" t="str">
        <x:f>IF(F956="","",MIN(F956,E956))</x:f>
      </x:c>
      <x:c r="H956" s="10" t="str">
        <x:f>IF(F956="","",MAX(0,F956-E956))</x:f>
      </x:c>
      <x:c r="I956" s="24"/>
      <x:c r="J956" s="7"/>
      <x:c r="K956" s="8" t="str">
        <x:f>IF(A956="","",DATE(YEAR(A956),MONTH(A956),1))</x:f>
      </x:c>
    </x:row>
    <x:row r="957">
      <x:c r="A957" s="9"/>
      <x:c r="B957" s="7"/>
      <x:c r="C957" s="7" t="str">
        <x:f>IF(B957="","",XLOOKUP(B957,Employees!$A$4:$A$53,Employees!$B$4:$B$53,""))</x:f>
      </x:c>
      <x:c r="D957" s="7"/>
      <x:c r="E957" s="10" t="n">
        <x:v>8</x:v>
      </x:c>
      <x:c r="F957" s="10"/>
      <x:c r="G957" s="10" t="str">
        <x:f>IF(F957="","",MIN(F957,E957))</x:f>
      </x:c>
      <x:c r="H957" s="10" t="str">
        <x:f>IF(F957="","",MAX(0,F957-E957))</x:f>
      </x:c>
      <x:c r="I957" s="24"/>
      <x:c r="J957" s="7"/>
      <x:c r="K957" s="8" t="str">
        <x:f>IF(A957="","",DATE(YEAR(A957),MONTH(A957),1))</x:f>
      </x:c>
    </x:row>
    <x:row r="958">
      <x:c r="A958" s="9"/>
      <x:c r="B958" s="7"/>
      <x:c r="C958" s="7" t="str">
        <x:f>IF(B958="","",XLOOKUP(B958,Employees!$A$4:$A$53,Employees!$B$4:$B$53,""))</x:f>
      </x:c>
      <x:c r="D958" s="7"/>
      <x:c r="E958" s="10" t="n">
        <x:v>8</x:v>
      </x:c>
      <x:c r="F958" s="10"/>
      <x:c r="G958" s="10" t="str">
        <x:f>IF(F958="","",MIN(F958,E958))</x:f>
      </x:c>
      <x:c r="H958" s="10" t="str">
        <x:f>IF(F958="","",MAX(0,F958-E958))</x:f>
      </x:c>
      <x:c r="I958" s="24"/>
      <x:c r="J958" s="7"/>
      <x:c r="K958" s="8" t="str">
        <x:f>IF(A958="","",DATE(YEAR(A958),MONTH(A958),1))</x:f>
      </x:c>
    </x:row>
    <x:row r="959">
      <x:c r="A959" s="9"/>
      <x:c r="B959" s="7"/>
      <x:c r="C959" s="7" t="str">
        <x:f>IF(B959="","",XLOOKUP(B959,Employees!$A$4:$A$53,Employees!$B$4:$B$53,""))</x:f>
      </x:c>
      <x:c r="D959" s="7"/>
      <x:c r="E959" s="10" t="n">
        <x:v>8</x:v>
      </x:c>
      <x:c r="F959" s="10"/>
      <x:c r="G959" s="10" t="str">
        <x:f>IF(F959="","",MIN(F959,E959))</x:f>
      </x:c>
      <x:c r="H959" s="10" t="str">
        <x:f>IF(F959="","",MAX(0,F959-E959))</x:f>
      </x:c>
      <x:c r="I959" s="24"/>
      <x:c r="J959" s="7"/>
      <x:c r="K959" s="8" t="str">
        <x:f>IF(A959="","",DATE(YEAR(A959),MONTH(A959),1))</x:f>
      </x:c>
    </x:row>
    <x:row r="960">
      <x:c r="A960" s="9"/>
      <x:c r="B960" s="7"/>
      <x:c r="C960" s="7" t="str">
        <x:f>IF(B960="","",XLOOKUP(B960,Employees!$A$4:$A$53,Employees!$B$4:$B$53,""))</x:f>
      </x:c>
      <x:c r="D960" s="7"/>
      <x:c r="E960" s="10" t="n">
        <x:v>8</x:v>
      </x:c>
      <x:c r="F960" s="10"/>
      <x:c r="G960" s="10" t="str">
        <x:f>IF(F960="","",MIN(F960,E960))</x:f>
      </x:c>
      <x:c r="H960" s="10" t="str">
        <x:f>IF(F960="","",MAX(0,F960-E960))</x:f>
      </x:c>
      <x:c r="I960" s="24"/>
      <x:c r="J960" s="7"/>
      <x:c r="K960" s="8" t="str">
        <x:f>IF(A960="","",DATE(YEAR(A960),MONTH(A960),1))</x:f>
      </x:c>
    </x:row>
    <x:row r="961">
      <x:c r="A961" s="9"/>
      <x:c r="B961" s="7"/>
      <x:c r="C961" s="7" t="str">
        <x:f>IF(B961="","",XLOOKUP(B961,Employees!$A$4:$A$53,Employees!$B$4:$B$53,""))</x:f>
      </x:c>
      <x:c r="D961" s="7"/>
      <x:c r="E961" s="10" t="n">
        <x:v>8</x:v>
      </x:c>
      <x:c r="F961" s="10"/>
      <x:c r="G961" s="10" t="str">
        <x:f>IF(F961="","",MIN(F961,E961))</x:f>
      </x:c>
      <x:c r="H961" s="10" t="str">
        <x:f>IF(F961="","",MAX(0,F961-E961))</x:f>
      </x:c>
      <x:c r="I961" s="24"/>
      <x:c r="J961" s="7"/>
      <x:c r="K961" s="8" t="str">
        <x:f>IF(A961="","",DATE(YEAR(A961),MONTH(A961),1))</x:f>
      </x:c>
    </x:row>
    <x:row r="962">
      <x:c r="A962" s="9"/>
      <x:c r="B962" s="7"/>
      <x:c r="C962" s="7" t="str">
        <x:f>IF(B962="","",XLOOKUP(B962,Employees!$A$4:$A$53,Employees!$B$4:$B$53,""))</x:f>
      </x:c>
      <x:c r="D962" s="7"/>
      <x:c r="E962" s="10" t="n">
        <x:v>8</x:v>
      </x:c>
      <x:c r="F962" s="10"/>
      <x:c r="G962" s="10" t="str">
        <x:f>IF(F962="","",MIN(F962,E962))</x:f>
      </x:c>
      <x:c r="H962" s="10" t="str">
        <x:f>IF(F962="","",MAX(0,F962-E962))</x:f>
      </x:c>
      <x:c r="I962" s="24"/>
      <x:c r="J962" s="7"/>
      <x:c r="K962" s="8" t="str">
        <x:f>IF(A962="","",DATE(YEAR(A962),MONTH(A962),1))</x:f>
      </x:c>
    </x:row>
    <x:row r="963">
      <x:c r="A963" s="9"/>
      <x:c r="B963" s="7"/>
      <x:c r="C963" s="7" t="str">
        <x:f>IF(B963="","",XLOOKUP(B963,Employees!$A$4:$A$53,Employees!$B$4:$B$53,""))</x:f>
      </x:c>
      <x:c r="D963" s="7"/>
      <x:c r="E963" s="10" t="n">
        <x:v>8</x:v>
      </x:c>
      <x:c r="F963" s="10"/>
      <x:c r="G963" s="10" t="str">
        <x:f>IF(F963="","",MIN(F963,E963))</x:f>
      </x:c>
      <x:c r="H963" s="10" t="str">
        <x:f>IF(F963="","",MAX(0,F963-E963))</x:f>
      </x:c>
      <x:c r="I963" s="24"/>
      <x:c r="J963" s="7"/>
      <x:c r="K963" s="8" t="str">
        <x:f>IF(A963="","",DATE(YEAR(A963),MONTH(A963),1))</x:f>
      </x:c>
    </x:row>
    <x:row r="964">
      <x:c r="A964" s="9"/>
      <x:c r="B964" s="7"/>
      <x:c r="C964" s="7" t="str">
        <x:f>IF(B964="","",XLOOKUP(B964,Employees!$A$4:$A$53,Employees!$B$4:$B$53,""))</x:f>
      </x:c>
      <x:c r="D964" s="7"/>
      <x:c r="E964" s="10" t="n">
        <x:v>8</x:v>
      </x:c>
      <x:c r="F964" s="10"/>
      <x:c r="G964" s="10" t="str">
        <x:f>IF(F964="","",MIN(F964,E964))</x:f>
      </x:c>
      <x:c r="H964" s="10" t="str">
        <x:f>IF(F964="","",MAX(0,F964-E964))</x:f>
      </x:c>
      <x:c r="I964" s="24"/>
      <x:c r="J964" s="7"/>
      <x:c r="K964" s="8" t="str">
        <x:f>IF(A964="","",DATE(YEAR(A964),MONTH(A964),1))</x:f>
      </x:c>
    </x:row>
    <x:row r="965">
      <x:c r="A965" s="9"/>
      <x:c r="B965" s="7"/>
      <x:c r="C965" s="7" t="str">
        <x:f>IF(B965="","",XLOOKUP(B965,Employees!$A$4:$A$53,Employees!$B$4:$B$53,""))</x:f>
      </x:c>
      <x:c r="D965" s="7"/>
      <x:c r="E965" s="10" t="n">
        <x:v>8</x:v>
      </x:c>
      <x:c r="F965" s="10"/>
      <x:c r="G965" s="10" t="str">
        <x:f>IF(F965="","",MIN(F965,E965))</x:f>
      </x:c>
      <x:c r="H965" s="10" t="str">
        <x:f>IF(F965="","",MAX(0,F965-E965))</x:f>
      </x:c>
      <x:c r="I965" s="24"/>
      <x:c r="J965" s="7"/>
      <x:c r="K965" s="8" t="str">
        <x:f>IF(A965="","",DATE(YEAR(A965),MONTH(A965),1))</x:f>
      </x:c>
    </x:row>
    <x:row r="966">
      <x:c r="A966" s="9"/>
      <x:c r="B966" s="7"/>
      <x:c r="C966" s="7" t="str">
        <x:f>IF(B966="","",XLOOKUP(B966,Employees!$A$4:$A$53,Employees!$B$4:$B$53,""))</x:f>
      </x:c>
      <x:c r="D966" s="7"/>
      <x:c r="E966" s="10" t="n">
        <x:v>8</x:v>
      </x:c>
      <x:c r="F966" s="10"/>
      <x:c r="G966" s="10" t="str">
        <x:f>IF(F966="","",MIN(F966,E966))</x:f>
      </x:c>
      <x:c r="H966" s="10" t="str">
        <x:f>IF(F966="","",MAX(0,F966-E966))</x:f>
      </x:c>
      <x:c r="I966" s="24"/>
      <x:c r="J966" s="7"/>
      <x:c r="K966" s="8" t="str">
        <x:f>IF(A966="","",DATE(YEAR(A966),MONTH(A966),1))</x:f>
      </x:c>
    </x:row>
    <x:row r="967">
      <x:c r="A967" s="9"/>
      <x:c r="B967" s="7"/>
      <x:c r="C967" s="7" t="str">
        <x:f>IF(B967="","",XLOOKUP(B967,Employees!$A$4:$A$53,Employees!$B$4:$B$53,""))</x:f>
      </x:c>
      <x:c r="D967" s="7"/>
      <x:c r="E967" s="10" t="n">
        <x:v>8</x:v>
      </x:c>
      <x:c r="F967" s="10"/>
      <x:c r="G967" s="10" t="str">
        <x:f>IF(F967="","",MIN(F967,E967))</x:f>
      </x:c>
      <x:c r="H967" s="10" t="str">
        <x:f>IF(F967="","",MAX(0,F967-E967))</x:f>
      </x:c>
      <x:c r="I967" s="24"/>
      <x:c r="J967" s="7"/>
      <x:c r="K967" s="8" t="str">
        <x:f>IF(A967="","",DATE(YEAR(A967),MONTH(A967),1))</x:f>
      </x:c>
    </x:row>
    <x:row r="968">
      <x:c r="A968" s="9"/>
      <x:c r="B968" s="7"/>
      <x:c r="C968" s="7" t="str">
        <x:f>IF(B968="","",XLOOKUP(B968,Employees!$A$4:$A$53,Employees!$B$4:$B$53,""))</x:f>
      </x:c>
      <x:c r="D968" s="7"/>
      <x:c r="E968" s="10" t="n">
        <x:v>8</x:v>
      </x:c>
      <x:c r="F968" s="10"/>
      <x:c r="G968" s="10" t="str">
        <x:f>IF(F968="","",MIN(F968,E968))</x:f>
      </x:c>
      <x:c r="H968" s="10" t="str">
        <x:f>IF(F968="","",MAX(0,F968-E968))</x:f>
      </x:c>
      <x:c r="I968" s="24"/>
      <x:c r="J968" s="7"/>
      <x:c r="K968" s="8" t="str">
        <x:f>IF(A968="","",DATE(YEAR(A968),MONTH(A968),1))</x:f>
      </x:c>
    </x:row>
    <x:row r="969">
      <x:c r="A969" s="9"/>
      <x:c r="B969" s="7"/>
      <x:c r="C969" s="7" t="str">
        <x:f>IF(B969="","",XLOOKUP(B969,Employees!$A$4:$A$53,Employees!$B$4:$B$53,""))</x:f>
      </x:c>
      <x:c r="D969" s="7"/>
      <x:c r="E969" s="10" t="n">
        <x:v>8</x:v>
      </x:c>
      <x:c r="F969" s="10"/>
      <x:c r="G969" s="10" t="str">
        <x:f>IF(F969="","",MIN(F969,E969))</x:f>
      </x:c>
      <x:c r="H969" s="10" t="str">
        <x:f>IF(F969="","",MAX(0,F969-E969))</x:f>
      </x:c>
      <x:c r="I969" s="24"/>
      <x:c r="J969" s="7"/>
      <x:c r="K969" s="8" t="str">
        <x:f>IF(A969="","",DATE(YEAR(A969),MONTH(A969),1))</x:f>
      </x:c>
    </x:row>
    <x:row r="970">
      <x:c r="A970" s="9"/>
      <x:c r="B970" s="7"/>
      <x:c r="C970" s="7" t="str">
        <x:f>IF(B970="","",XLOOKUP(B970,Employees!$A$4:$A$53,Employees!$B$4:$B$53,""))</x:f>
      </x:c>
      <x:c r="D970" s="7"/>
      <x:c r="E970" s="10" t="n">
        <x:v>8</x:v>
      </x:c>
      <x:c r="F970" s="10"/>
      <x:c r="G970" s="10" t="str">
        <x:f>IF(F970="","",MIN(F970,E970))</x:f>
      </x:c>
      <x:c r="H970" s="10" t="str">
        <x:f>IF(F970="","",MAX(0,F970-E970))</x:f>
      </x:c>
      <x:c r="I970" s="24"/>
      <x:c r="J970" s="7"/>
      <x:c r="K970" s="8" t="str">
        <x:f>IF(A970="","",DATE(YEAR(A970),MONTH(A970),1))</x:f>
      </x:c>
    </x:row>
    <x:row r="971">
      <x:c r="A971" s="9"/>
      <x:c r="B971" s="7"/>
      <x:c r="C971" s="7" t="str">
        <x:f>IF(B971="","",XLOOKUP(B971,Employees!$A$4:$A$53,Employees!$B$4:$B$53,""))</x:f>
      </x:c>
      <x:c r="D971" s="7"/>
      <x:c r="E971" s="10" t="n">
        <x:v>8</x:v>
      </x:c>
      <x:c r="F971" s="10"/>
      <x:c r="G971" s="10" t="str">
        <x:f>IF(F971="","",MIN(F971,E971))</x:f>
      </x:c>
      <x:c r="H971" s="10" t="str">
        <x:f>IF(F971="","",MAX(0,F971-E971))</x:f>
      </x:c>
      <x:c r="I971" s="24"/>
      <x:c r="J971" s="7"/>
      <x:c r="K971" s="8" t="str">
        <x:f>IF(A971="","",DATE(YEAR(A971),MONTH(A971),1))</x:f>
      </x:c>
    </x:row>
    <x:row r="972">
      <x:c r="A972" s="9"/>
      <x:c r="B972" s="7"/>
      <x:c r="C972" s="7" t="str">
        <x:f>IF(B972="","",XLOOKUP(B972,Employees!$A$4:$A$53,Employees!$B$4:$B$53,""))</x:f>
      </x:c>
      <x:c r="D972" s="7"/>
      <x:c r="E972" s="10" t="n">
        <x:v>8</x:v>
      </x:c>
      <x:c r="F972" s="10"/>
      <x:c r="G972" s="10" t="str">
        <x:f>IF(F972="","",MIN(F972,E972))</x:f>
      </x:c>
      <x:c r="H972" s="10" t="str">
        <x:f>IF(F972="","",MAX(0,F972-E972))</x:f>
      </x:c>
      <x:c r="I972" s="24"/>
      <x:c r="J972" s="7"/>
      <x:c r="K972" s="8" t="str">
        <x:f>IF(A972="","",DATE(YEAR(A972),MONTH(A972),1))</x:f>
      </x:c>
    </x:row>
    <x:row r="973">
      <x:c r="A973" s="9"/>
      <x:c r="B973" s="7"/>
      <x:c r="C973" s="7" t="str">
        <x:f>IF(B973="","",XLOOKUP(B973,Employees!$A$4:$A$53,Employees!$B$4:$B$53,""))</x:f>
      </x:c>
      <x:c r="D973" s="7"/>
      <x:c r="E973" s="10" t="n">
        <x:v>8</x:v>
      </x:c>
      <x:c r="F973" s="10"/>
      <x:c r="G973" s="10" t="str">
        <x:f>IF(F973="","",MIN(F973,E973))</x:f>
      </x:c>
      <x:c r="H973" s="10" t="str">
        <x:f>IF(F973="","",MAX(0,F973-E973))</x:f>
      </x:c>
      <x:c r="I973" s="24"/>
      <x:c r="J973" s="7"/>
      <x:c r="K973" s="8" t="str">
        <x:f>IF(A973="","",DATE(YEAR(A973),MONTH(A973),1))</x:f>
      </x:c>
    </x:row>
    <x:row r="974">
      <x:c r="A974" s="9"/>
      <x:c r="B974" s="7"/>
      <x:c r="C974" s="7" t="str">
        <x:f>IF(B974="","",XLOOKUP(B974,Employees!$A$4:$A$53,Employees!$B$4:$B$53,""))</x:f>
      </x:c>
      <x:c r="D974" s="7"/>
      <x:c r="E974" s="10" t="n">
        <x:v>8</x:v>
      </x:c>
      <x:c r="F974" s="10"/>
      <x:c r="G974" s="10" t="str">
        <x:f>IF(F974="","",MIN(F974,E974))</x:f>
      </x:c>
      <x:c r="H974" s="10" t="str">
        <x:f>IF(F974="","",MAX(0,F974-E974))</x:f>
      </x:c>
      <x:c r="I974" s="24"/>
      <x:c r="J974" s="7"/>
      <x:c r="K974" s="8" t="str">
        <x:f>IF(A974="","",DATE(YEAR(A974),MONTH(A974),1))</x:f>
      </x:c>
    </x:row>
    <x:row r="975">
      <x:c r="A975" s="9"/>
      <x:c r="B975" s="7"/>
      <x:c r="C975" s="7" t="str">
        <x:f>IF(B975="","",XLOOKUP(B975,Employees!$A$4:$A$53,Employees!$B$4:$B$53,""))</x:f>
      </x:c>
      <x:c r="D975" s="7"/>
      <x:c r="E975" s="10" t="n">
        <x:v>8</x:v>
      </x:c>
      <x:c r="F975" s="10"/>
      <x:c r="G975" s="10" t="str">
        <x:f>IF(F975="","",MIN(F975,E975))</x:f>
      </x:c>
      <x:c r="H975" s="10" t="str">
        <x:f>IF(F975="","",MAX(0,F975-E975))</x:f>
      </x:c>
      <x:c r="I975" s="24"/>
      <x:c r="J975" s="7"/>
      <x:c r="K975" s="8" t="str">
        <x:f>IF(A975="","",DATE(YEAR(A975),MONTH(A975),1))</x:f>
      </x:c>
    </x:row>
    <x:row r="976">
      <x:c r="A976" s="9"/>
      <x:c r="B976" s="7"/>
      <x:c r="C976" s="7" t="str">
        <x:f>IF(B976="","",XLOOKUP(B976,Employees!$A$4:$A$53,Employees!$B$4:$B$53,""))</x:f>
      </x:c>
      <x:c r="D976" s="7"/>
      <x:c r="E976" s="10" t="n">
        <x:v>8</x:v>
      </x:c>
      <x:c r="F976" s="10"/>
      <x:c r="G976" s="10" t="str">
        <x:f>IF(F976="","",MIN(F976,E976))</x:f>
      </x:c>
      <x:c r="H976" s="10" t="str">
        <x:f>IF(F976="","",MAX(0,F976-E976))</x:f>
      </x:c>
      <x:c r="I976" s="24"/>
      <x:c r="J976" s="7"/>
      <x:c r="K976" s="8" t="str">
        <x:f>IF(A976="","",DATE(YEAR(A976),MONTH(A976),1))</x:f>
      </x:c>
    </x:row>
    <x:row r="977">
      <x:c r="A977" s="9"/>
      <x:c r="B977" s="7"/>
      <x:c r="C977" s="7" t="str">
        <x:f>IF(B977="","",XLOOKUP(B977,Employees!$A$4:$A$53,Employees!$B$4:$B$53,""))</x:f>
      </x:c>
      <x:c r="D977" s="7"/>
      <x:c r="E977" s="10" t="n">
        <x:v>8</x:v>
      </x:c>
      <x:c r="F977" s="10"/>
      <x:c r="G977" s="10" t="str">
        <x:f>IF(F977="","",MIN(F977,E977))</x:f>
      </x:c>
      <x:c r="H977" s="10" t="str">
        <x:f>IF(F977="","",MAX(0,F977-E977))</x:f>
      </x:c>
      <x:c r="I977" s="24"/>
      <x:c r="J977" s="7"/>
      <x:c r="K977" s="8" t="str">
        <x:f>IF(A977="","",DATE(YEAR(A977),MONTH(A977),1))</x:f>
      </x:c>
    </x:row>
    <x:row r="978">
      <x:c r="A978" s="9"/>
      <x:c r="B978" s="7"/>
      <x:c r="C978" s="7" t="str">
        <x:f>IF(B978="","",XLOOKUP(B978,Employees!$A$4:$A$53,Employees!$B$4:$B$53,""))</x:f>
      </x:c>
      <x:c r="D978" s="7"/>
      <x:c r="E978" s="10" t="n">
        <x:v>8</x:v>
      </x:c>
      <x:c r="F978" s="10"/>
      <x:c r="G978" s="10" t="str">
        <x:f>IF(F978="","",MIN(F978,E978))</x:f>
      </x:c>
      <x:c r="H978" s="10" t="str">
        <x:f>IF(F978="","",MAX(0,F978-E978))</x:f>
      </x:c>
      <x:c r="I978" s="24"/>
      <x:c r="J978" s="7"/>
      <x:c r="K978" s="8" t="str">
        <x:f>IF(A978="","",DATE(YEAR(A978),MONTH(A978),1))</x:f>
      </x:c>
    </x:row>
    <x:row r="979">
      <x:c r="A979" s="9"/>
      <x:c r="B979" s="7"/>
      <x:c r="C979" s="7" t="str">
        <x:f>IF(B979="","",XLOOKUP(B979,Employees!$A$4:$A$53,Employees!$B$4:$B$53,""))</x:f>
      </x:c>
      <x:c r="D979" s="7"/>
      <x:c r="E979" s="10" t="n">
        <x:v>8</x:v>
      </x:c>
      <x:c r="F979" s="10"/>
      <x:c r="G979" s="10" t="str">
        <x:f>IF(F979="","",MIN(F979,E979))</x:f>
      </x:c>
      <x:c r="H979" s="10" t="str">
        <x:f>IF(F979="","",MAX(0,F979-E979))</x:f>
      </x:c>
      <x:c r="I979" s="24"/>
      <x:c r="J979" s="7"/>
      <x:c r="K979" s="8" t="str">
        <x:f>IF(A979="","",DATE(YEAR(A979),MONTH(A979),1))</x:f>
      </x:c>
    </x:row>
    <x:row r="980">
      <x:c r="A980" s="9"/>
      <x:c r="B980" s="7"/>
      <x:c r="C980" s="7" t="str">
        <x:f>IF(B980="","",XLOOKUP(B980,Employees!$A$4:$A$53,Employees!$B$4:$B$53,""))</x:f>
      </x:c>
      <x:c r="D980" s="7"/>
      <x:c r="E980" s="10" t="n">
        <x:v>8</x:v>
      </x:c>
      <x:c r="F980" s="10"/>
      <x:c r="G980" s="10" t="str">
        <x:f>IF(F980="","",MIN(F980,E980))</x:f>
      </x:c>
      <x:c r="H980" s="10" t="str">
        <x:f>IF(F980="","",MAX(0,F980-E980))</x:f>
      </x:c>
      <x:c r="I980" s="24"/>
      <x:c r="J980" s="7"/>
      <x:c r="K980" s="8" t="str">
        <x:f>IF(A980="","",DATE(YEAR(A980),MONTH(A980),1))</x:f>
      </x:c>
    </x:row>
    <x:row r="981">
      <x:c r="A981" s="9"/>
      <x:c r="B981" s="7"/>
      <x:c r="C981" s="7" t="str">
        <x:f>IF(B981="","",XLOOKUP(B981,Employees!$A$4:$A$53,Employees!$B$4:$B$53,""))</x:f>
      </x:c>
      <x:c r="D981" s="7"/>
      <x:c r="E981" s="10" t="n">
        <x:v>8</x:v>
      </x:c>
      <x:c r="F981" s="10"/>
      <x:c r="G981" s="10" t="str">
        <x:f>IF(F981="","",MIN(F981,E981))</x:f>
      </x:c>
      <x:c r="H981" s="10" t="str">
        <x:f>IF(F981="","",MAX(0,F981-E981))</x:f>
      </x:c>
      <x:c r="I981" s="24"/>
      <x:c r="J981" s="7"/>
      <x:c r="K981" s="8" t="str">
        <x:f>IF(A981="","",DATE(YEAR(A981),MONTH(A981),1))</x:f>
      </x:c>
    </x:row>
    <x:row r="982">
      <x:c r="A982" s="9"/>
      <x:c r="B982" s="7"/>
      <x:c r="C982" s="7" t="str">
        <x:f>IF(B982="","",XLOOKUP(B982,Employees!$A$4:$A$53,Employees!$B$4:$B$53,""))</x:f>
      </x:c>
      <x:c r="D982" s="7"/>
      <x:c r="E982" s="10" t="n">
        <x:v>8</x:v>
      </x:c>
      <x:c r="F982" s="10"/>
      <x:c r="G982" s="10" t="str">
        <x:f>IF(F982="","",MIN(F982,E982))</x:f>
      </x:c>
      <x:c r="H982" s="10" t="str">
        <x:f>IF(F982="","",MAX(0,F982-E982))</x:f>
      </x:c>
      <x:c r="I982" s="24"/>
      <x:c r="J982" s="7"/>
      <x:c r="K982" s="8" t="str">
        <x:f>IF(A982="","",DATE(YEAR(A982),MONTH(A982),1))</x:f>
      </x:c>
    </x:row>
    <x:row r="983">
      <x:c r="A983" s="9"/>
      <x:c r="B983" s="7"/>
      <x:c r="C983" s="7" t="str">
        <x:f>IF(B983="","",XLOOKUP(B983,Employees!$A$4:$A$53,Employees!$B$4:$B$53,""))</x:f>
      </x:c>
      <x:c r="D983" s="7"/>
      <x:c r="E983" s="10" t="n">
        <x:v>8</x:v>
      </x:c>
      <x:c r="F983" s="10"/>
      <x:c r="G983" s="10" t="str">
        <x:f>IF(F983="","",MIN(F983,E983))</x:f>
      </x:c>
      <x:c r="H983" s="10" t="str">
        <x:f>IF(F983="","",MAX(0,F983-E983))</x:f>
      </x:c>
      <x:c r="I983" s="24"/>
      <x:c r="J983" s="7"/>
      <x:c r="K983" s="8" t="str">
        <x:f>IF(A983="","",DATE(YEAR(A983),MONTH(A983),1))</x:f>
      </x:c>
    </x:row>
    <x:row r="984">
      <x:c r="A984" s="9"/>
      <x:c r="B984" s="7"/>
      <x:c r="C984" s="7" t="str">
        <x:f>IF(B984="","",XLOOKUP(B984,Employees!$A$4:$A$53,Employees!$B$4:$B$53,""))</x:f>
      </x:c>
      <x:c r="D984" s="7"/>
      <x:c r="E984" s="10" t="n">
        <x:v>8</x:v>
      </x:c>
      <x:c r="F984" s="10"/>
      <x:c r="G984" s="10" t="str">
        <x:f>IF(F984="","",MIN(F984,E984))</x:f>
      </x:c>
      <x:c r="H984" s="10" t="str">
        <x:f>IF(F984="","",MAX(0,F984-E984))</x:f>
      </x:c>
      <x:c r="I984" s="24"/>
      <x:c r="J984" s="7"/>
      <x:c r="K984" s="8" t="str">
        <x:f>IF(A984="","",DATE(YEAR(A984),MONTH(A984),1))</x:f>
      </x:c>
    </x:row>
    <x:row r="985">
      <x:c r="A985" s="9"/>
      <x:c r="B985" s="7"/>
      <x:c r="C985" s="7" t="str">
        <x:f>IF(B985="","",XLOOKUP(B985,Employees!$A$4:$A$53,Employees!$B$4:$B$53,""))</x:f>
      </x:c>
      <x:c r="D985" s="7"/>
      <x:c r="E985" s="10" t="n">
        <x:v>8</x:v>
      </x:c>
      <x:c r="F985" s="10"/>
      <x:c r="G985" s="10" t="str">
        <x:f>IF(F985="","",MIN(F985,E985))</x:f>
      </x:c>
      <x:c r="H985" s="10" t="str">
        <x:f>IF(F985="","",MAX(0,F985-E985))</x:f>
      </x:c>
      <x:c r="I985" s="24"/>
      <x:c r="J985" s="7"/>
      <x:c r="K985" s="8" t="str">
        <x:f>IF(A985="","",DATE(YEAR(A985),MONTH(A985),1))</x:f>
      </x:c>
    </x:row>
    <x:row r="986">
      <x:c r="A986" s="9"/>
      <x:c r="B986" s="7"/>
      <x:c r="C986" s="7" t="str">
        <x:f>IF(B986="","",XLOOKUP(B986,Employees!$A$4:$A$53,Employees!$B$4:$B$53,""))</x:f>
      </x:c>
      <x:c r="D986" s="7"/>
      <x:c r="E986" s="10" t="n">
        <x:v>8</x:v>
      </x:c>
      <x:c r="F986" s="10"/>
      <x:c r="G986" s="10" t="str">
        <x:f>IF(F986="","",MIN(F986,E986))</x:f>
      </x:c>
      <x:c r="H986" s="10" t="str">
        <x:f>IF(F986="","",MAX(0,F986-E986))</x:f>
      </x:c>
      <x:c r="I986" s="24"/>
      <x:c r="J986" s="7"/>
      <x:c r="K986" s="8" t="str">
        <x:f>IF(A986="","",DATE(YEAR(A986),MONTH(A986),1))</x:f>
      </x:c>
    </x:row>
    <x:row r="987">
      <x:c r="A987" s="9"/>
      <x:c r="B987" s="7"/>
      <x:c r="C987" s="7" t="str">
        <x:f>IF(B987="","",XLOOKUP(B987,Employees!$A$4:$A$53,Employees!$B$4:$B$53,""))</x:f>
      </x:c>
      <x:c r="D987" s="7"/>
      <x:c r="E987" s="10" t="n">
        <x:v>8</x:v>
      </x:c>
      <x:c r="F987" s="10"/>
      <x:c r="G987" s="10" t="str">
        <x:f>IF(F987="","",MIN(F987,E987))</x:f>
      </x:c>
      <x:c r="H987" s="10" t="str">
        <x:f>IF(F987="","",MAX(0,F987-E987))</x:f>
      </x:c>
      <x:c r="I987" s="24"/>
      <x:c r="J987" s="7"/>
      <x:c r="K987" s="8" t="str">
        <x:f>IF(A987="","",DATE(YEAR(A987),MONTH(A987),1))</x:f>
      </x:c>
    </x:row>
    <x:row r="988">
      <x:c r="A988" s="9"/>
      <x:c r="B988" s="7"/>
      <x:c r="C988" s="7" t="str">
        <x:f>IF(B988="","",XLOOKUP(B988,Employees!$A$4:$A$53,Employees!$B$4:$B$53,""))</x:f>
      </x:c>
      <x:c r="D988" s="7"/>
      <x:c r="E988" s="10" t="n">
        <x:v>8</x:v>
      </x:c>
      <x:c r="F988" s="10"/>
      <x:c r="G988" s="10" t="str">
        <x:f>IF(F988="","",MIN(F988,E988))</x:f>
      </x:c>
      <x:c r="H988" s="10" t="str">
        <x:f>IF(F988="","",MAX(0,F988-E988))</x:f>
      </x:c>
      <x:c r="I988" s="24"/>
      <x:c r="J988" s="7"/>
      <x:c r="K988" s="8" t="str">
        <x:f>IF(A988="","",DATE(YEAR(A988),MONTH(A988),1))</x:f>
      </x:c>
    </x:row>
    <x:row r="989">
      <x:c r="A989" s="9"/>
      <x:c r="B989" s="7"/>
      <x:c r="C989" s="7" t="str">
        <x:f>IF(B989="","",XLOOKUP(B989,Employees!$A$4:$A$53,Employees!$B$4:$B$53,""))</x:f>
      </x:c>
      <x:c r="D989" s="7"/>
      <x:c r="E989" s="10" t="n">
        <x:v>8</x:v>
      </x:c>
      <x:c r="F989" s="10"/>
      <x:c r="G989" s="10" t="str">
        <x:f>IF(F989="","",MIN(F989,E989))</x:f>
      </x:c>
      <x:c r="H989" s="10" t="str">
        <x:f>IF(F989="","",MAX(0,F989-E989))</x:f>
      </x:c>
      <x:c r="I989" s="24"/>
      <x:c r="J989" s="7"/>
      <x:c r="K989" s="8" t="str">
        <x:f>IF(A989="","",DATE(YEAR(A989),MONTH(A989),1))</x:f>
      </x:c>
    </x:row>
    <x:row r="990">
      <x:c r="A990" s="9"/>
      <x:c r="B990" s="7"/>
      <x:c r="C990" s="7" t="str">
        <x:f>IF(B990="","",XLOOKUP(B990,Employees!$A$4:$A$53,Employees!$B$4:$B$53,""))</x:f>
      </x:c>
      <x:c r="D990" s="7"/>
      <x:c r="E990" s="10" t="n">
        <x:v>8</x:v>
      </x:c>
      <x:c r="F990" s="10"/>
      <x:c r="G990" s="10" t="str">
        <x:f>IF(F990="","",MIN(F990,E990))</x:f>
      </x:c>
      <x:c r="H990" s="10" t="str">
        <x:f>IF(F990="","",MAX(0,F990-E990))</x:f>
      </x:c>
      <x:c r="I990" s="24"/>
      <x:c r="J990" s="7"/>
      <x:c r="K990" s="8" t="str">
        <x:f>IF(A990="","",DATE(YEAR(A990),MONTH(A990),1))</x:f>
      </x:c>
    </x:row>
    <x:row r="991">
      <x:c r="A991" s="9"/>
      <x:c r="B991" s="7"/>
      <x:c r="C991" s="7" t="str">
        <x:f>IF(B991="","",XLOOKUP(B991,Employees!$A$4:$A$53,Employees!$B$4:$B$53,""))</x:f>
      </x:c>
      <x:c r="D991" s="7"/>
      <x:c r="E991" s="10" t="n">
        <x:v>8</x:v>
      </x:c>
      <x:c r="F991" s="10"/>
      <x:c r="G991" s="10" t="str">
        <x:f>IF(F991="","",MIN(F991,E991))</x:f>
      </x:c>
      <x:c r="H991" s="10" t="str">
        <x:f>IF(F991="","",MAX(0,F991-E991))</x:f>
      </x:c>
      <x:c r="I991" s="24"/>
      <x:c r="J991" s="7"/>
      <x:c r="K991" s="8" t="str">
        <x:f>IF(A991="","",DATE(YEAR(A991),MONTH(A991),1))</x:f>
      </x:c>
    </x:row>
    <x:row r="992">
      <x:c r="A992" s="9"/>
      <x:c r="B992" s="7"/>
      <x:c r="C992" s="7" t="str">
        <x:f>IF(B992="","",XLOOKUP(B992,Employees!$A$4:$A$53,Employees!$B$4:$B$53,""))</x:f>
      </x:c>
      <x:c r="D992" s="7"/>
      <x:c r="E992" s="10" t="n">
        <x:v>8</x:v>
      </x:c>
      <x:c r="F992" s="10"/>
      <x:c r="G992" s="10" t="str">
        <x:f>IF(F992="","",MIN(F992,E992))</x:f>
      </x:c>
      <x:c r="H992" s="10" t="str">
        <x:f>IF(F992="","",MAX(0,F992-E992))</x:f>
      </x:c>
      <x:c r="I992" s="24"/>
      <x:c r="J992" s="7"/>
      <x:c r="K992" s="8" t="str">
        <x:f>IF(A992="","",DATE(YEAR(A992),MONTH(A992),1))</x:f>
      </x:c>
    </x:row>
    <x:row r="993">
      <x:c r="A993" s="9"/>
      <x:c r="B993" s="7"/>
      <x:c r="C993" s="7" t="str">
        <x:f>IF(B993="","",XLOOKUP(B993,Employees!$A$4:$A$53,Employees!$B$4:$B$53,""))</x:f>
      </x:c>
      <x:c r="D993" s="7"/>
      <x:c r="E993" s="10" t="n">
        <x:v>8</x:v>
      </x:c>
      <x:c r="F993" s="10"/>
      <x:c r="G993" s="10" t="str">
        <x:f>IF(F993="","",MIN(F993,E993))</x:f>
      </x:c>
      <x:c r="H993" s="10" t="str">
        <x:f>IF(F993="","",MAX(0,F993-E993))</x:f>
      </x:c>
      <x:c r="I993" s="24"/>
      <x:c r="J993" s="7"/>
      <x:c r="K993" s="8" t="str">
        <x:f>IF(A993="","",DATE(YEAR(A993),MONTH(A993),1))</x:f>
      </x:c>
    </x:row>
    <x:row r="994">
      <x:c r="A994" s="9"/>
      <x:c r="B994" s="7"/>
      <x:c r="C994" s="7" t="str">
        <x:f>IF(B994="","",XLOOKUP(B994,Employees!$A$4:$A$53,Employees!$B$4:$B$53,""))</x:f>
      </x:c>
      <x:c r="D994" s="7"/>
      <x:c r="E994" s="10" t="n">
        <x:v>8</x:v>
      </x:c>
      <x:c r="F994" s="10"/>
      <x:c r="G994" s="10" t="str">
        <x:f>IF(F994="","",MIN(F994,E994))</x:f>
      </x:c>
      <x:c r="H994" s="10" t="str">
        <x:f>IF(F994="","",MAX(0,F994-E994))</x:f>
      </x:c>
      <x:c r="I994" s="24"/>
      <x:c r="J994" s="7"/>
      <x:c r="K994" s="8" t="str">
        <x:f>IF(A994="","",DATE(YEAR(A994),MONTH(A994),1))</x:f>
      </x:c>
    </x:row>
    <x:row r="995">
      <x:c r="A995" s="9"/>
      <x:c r="B995" s="7"/>
      <x:c r="C995" s="7" t="str">
        <x:f>IF(B995="","",XLOOKUP(B995,Employees!$A$4:$A$53,Employees!$B$4:$B$53,""))</x:f>
      </x:c>
      <x:c r="D995" s="7"/>
      <x:c r="E995" s="10" t="n">
        <x:v>8</x:v>
      </x:c>
      <x:c r="F995" s="10"/>
      <x:c r="G995" s="10" t="str">
        <x:f>IF(F995="","",MIN(F995,E995))</x:f>
      </x:c>
      <x:c r="H995" s="10" t="str">
        <x:f>IF(F995="","",MAX(0,F995-E995))</x:f>
      </x:c>
      <x:c r="I995" s="24"/>
      <x:c r="J995" s="7"/>
      <x:c r="K995" s="8" t="str">
        <x:f>IF(A995="","",DATE(YEAR(A995),MONTH(A995),1))</x:f>
      </x:c>
    </x:row>
    <x:row r="996">
      <x:c r="A996" s="9"/>
      <x:c r="B996" s="7"/>
      <x:c r="C996" s="7" t="str">
        <x:f>IF(B996="","",XLOOKUP(B996,Employees!$A$4:$A$53,Employees!$B$4:$B$53,""))</x:f>
      </x:c>
      <x:c r="D996" s="7"/>
      <x:c r="E996" s="10" t="n">
        <x:v>8</x:v>
      </x:c>
      <x:c r="F996" s="10"/>
      <x:c r="G996" s="10" t="str">
        <x:f>IF(F996="","",MIN(F996,E996))</x:f>
      </x:c>
      <x:c r="H996" s="10" t="str">
        <x:f>IF(F996="","",MAX(0,F996-E996))</x:f>
      </x:c>
      <x:c r="I996" s="24"/>
      <x:c r="J996" s="7"/>
      <x:c r="K996" s="8" t="str">
        <x:f>IF(A996="","",DATE(YEAR(A996),MONTH(A996),1))</x:f>
      </x:c>
    </x:row>
    <x:row r="997">
      <x:c r="A997" s="9"/>
      <x:c r="B997" s="7"/>
      <x:c r="C997" s="7" t="str">
        <x:f>IF(B997="","",XLOOKUP(B997,Employees!$A$4:$A$53,Employees!$B$4:$B$53,""))</x:f>
      </x:c>
      <x:c r="D997" s="7"/>
      <x:c r="E997" s="10" t="n">
        <x:v>8</x:v>
      </x:c>
      <x:c r="F997" s="10"/>
      <x:c r="G997" s="10" t="str">
        <x:f>IF(F997="","",MIN(F997,E997))</x:f>
      </x:c>
      <x:c r="H997" s="10" t="str">
        <x:f>IF(F997="","",MAX(0,F997-E997))</x:f>
      </x:c>
      <x:c r="I997" s="24"/>
      <x:c r="J997" s="7"/>
      <x:c r="K997" s="8" t="str">
        <x:f>IF(A997="","",DATE(YEAR(A997),MONTH(A997),1))</x:f>
      </x:c>
    </x:row>
    <x:row r="998">
      <x:c r="A998" s="9"/>
      <x:c r="B998" s="7"/>
      <x:c r="C998" s="7" t="str">
        <x:f>IF(B998="","",XLOOKUP(B998,Employees!$A$4:$A$53,Employees!$B$4:$B$53,""))</x:f>
      </x:c>
      <x:c r="D998" s="7"/>
      <x:c r="E998" s="10" t="n">
        <x:v>8</x:v>
      </x:c>
      <x:c r="F998" s="10"/>
      <x:c r="G998" s="10" t="str">
        <x:f>IF(F998="","",MIN(F998,E998))</x:f>
      </x:c>
      <x:c r="H998" s="10" t="str">
        <x:f>IF(F998="","",MAX(0,F998-E998))</x:f>
      </x:c>
      <x:c r="I998" s="24"/>
      <x:c r="J998" s="7"/>
      <x:c r="K998" s="8" t="str">
        <x:f>IF(A998="","",DATE(YEAR(A998),MONTH(A998),1))</x:f>
      </x:c>
    </x:row>
    <x:row r="999">
      <x:c r="A999" s="9"/>
      <x:c r="B999" s="7"/>
      <x:c r="C999" s="7" t="str">
        <x:f>IF(B999="","",XLOOKUP(B999,Employees!$A$4:$A$53,Employees!$B$4:$B$53,""))</x:f>
      </x:c>
      <x:c r="D999" s="7"/>
      <x:c r="E999" s="10" t="n">
        <x:v>8</x:v>
      </x:c>
      <x:c r="F999" s="10"/>
      <x:c r="G999" s="10" t="str">
        <x:f>IF(F999="","",MIN(F999,E999))</x:f>
      </x:c>
      <x:c r="H999" s="10" t="str">
        <x:f>IF(F999="","",MAX(0,F999-E999))</x:f>
      </x:c>
      <x:c r="I999" s="24"/>
      <x:c r="J999" s="7"/>
      <x:c r="K999" s="8" t="str">
        <x:f>IF(A999="","",DATE(YEAR(A999),MONTH(A999),1))</x:f>
      </x:c>
    </x:row>
    <x:row r="1000">
      <x:c r="A1000" s="9"/>
      <x:c r="B1000" s="7"/>
      <x:c r="C1000" s="7" t="str">
        <x:f>IF(B1000="","",XLOOKUP(B1000,Employees!$A$4:$A$53,Employees!$B$4:$B$53,""))</x:f>
      </x:c>
      <x:c r="D1000" s="7"/>
      <x:c r="E1000" s="10" t="n">
        <x:v>8</x:v>
      </x:c>
      <x:c r="F1000" s="10"/>
      <x:c r="G1000" s="10" t="str">
        <x:f>IF(F1000="","",MIN(F1000,E1000))</x:f>
      </x:c>
      <x:c r="H1000" s="10" t="str">
        <x:f>IF(F1000="","",MAX(0,F1000-E1000))</x:f>
      </x:c>
      <x:c r="I1000" s="24"/>
      <x:c r="J1000" s="7"/>
      <x:c r="K1000" s="8" t="str">
        <x:f>IF(A1000="","",DATE(YEAR(A1000),MONTH(A1000),1))</x:f>
      </x:c>
    </x:row>
    <x:row r="1001">
      <x:c r="A1001" s="9"/>
      <x:c r="B1001" s="7"/>
      <x:c r="C1001" s="7" t="str">
        <x:f>IF(B1001="","",XLOOKUP(B1001,Employees!$A$4:$A$53,Employees!$B$4:$B$53,""))</x:f>
      </x:c>
      <x:c r="D1001" s="7"/>
      <x:c r="E1001" s="10" t="n">
        <x:v>8</x:v>
      </x:c>
      <x:c r="F1001" s="10"/>
      <x:c r="G1001" s="10" t="str">
        <x:f>IF(F1001="","",MIN(F1001,E1001))</x:f>
      </x:c>
      <x:c r="H1001" s="10" t="str">
        <x:f>IF(F1001="","",MAX(0,F1001-E1001))</x:f>
      </x:c>
      <x:c r="I1001" s="24"/>
      <x:c r="J1001" s="7"/>
      <x:c r="K1001" s="8" t="str">
        <x:f>IF(A1001="","",DATE(YEAR(A1001),MONTH(A1001),1))</x:f>
      </x:c>
    </x:row>
    <x:row r="1002">
      <x:c r="A1002" s="9"/>
      <x:c r="B1002" s="7"/>
      <x:c r="C1002" s="7" t="str">
        <x:f>IF(B1002="","",XLOOKUP(B1002,Employees!$A$4:$A$53,Employees!$B$4:$B$53,""))</x:f>
      </x:c>
      <x:c r="D1002" s="7"/>
      <x:c r="E1002" s="10" t="n">
        <x:v>8</x:v>
      </x:c>
      <x:c r="F1002" s="10"/>
      <x:c r="G1002" s="10" t="str">
        <x:f>IF(F1002="","",MIN(F1002,E1002))</x:f>
      </x:c>
      <x:c r="H1002" s="10" t="str">
        <x:f>IF(F1002="","",MAX(0,F1002-E1002))</x:f>
      </x:c>
      <x:c r="I1002" s="24"/>
      <x:c r="J1002" s="7"/>
      <x:c r="K1002" s="8" t="str">
        <x:f>IF(A1002="","",DATE(YEAR(A1002),MONTH(A1002),1))</x:f>
      </x:c>
    </x:row>
    <x:row r="1003">
      <x:c r="A1003" s="9"/>
      <x:c r="B1003" s="7"/>
      <x:c r="C1003" s="7" t="str">
        <x:f>IF(B1003="","",XLOOKUP(B1003,Employees!$A$4:$A$53,Employees!$B$4:$B$53,""))</x:f>
      </x:c>
      <x:c r="D1003" s="7"/>
      <x:c r="E1003" s="10" t="n">
        <x:v>8</x:v>
      </x:c>
      <x:c r="F1003" s="10"/>
      <x:c r="G1003" s="10" t="str">
        <x:f>IF(F1003="","",MIN(F1003,E1003))</x:f>
      </x:c>
      <x:c r="H1003" s="10" t="str">
        <x:f>IF(F1003="","",MAX(0,F1003-E1003))</x:f>
      </x:c>
      <x:c r="I1003" s="24"/>
      <x:c r="J1003" s="7"/>
      <x:c r="K1003" s="8" t="str">
        <x:f>IF(A1003="","",DATE(YEAR(A1003),MONTH(A1003),1))</x:f>
      </x:c>
    </x:row>
    <x:row r="1004">
      <x:c r="A1004" s="9"/>
      <x:c r="B1004" s="7"/>
      <x:c r="C1004" s="7" t="str">
        <x:f>IF(B1004="","",XLOOKUP(B1004,Employees!$A$4:$A$53,Employees!$B$4:$B$53,""))</x:f>
      </x:c>
      <x:c r="D1004" s="7"/>
      <x:c r="E1004" s="10" t="n">
        <x:v>8</x:v>
      </x:c>
      <x:c r="F1004" s="10"/>
      <x:c r="G1004" s="10" t="str">
        <x:f>IF(F1004="","",MIN(F1004,E1004))</x:f>
      </x:c>
      <x:c r="H1004" s="10" t="str">
        <x:f>IF(F1004="","",MAX(0,F1004-E1004))</x:f>
      </x:c>
      <x:c r="I1004" s="24"/>
      <x:c r="J1004" s="7"/>
      <x:c r="K1004" s="8" t="str">
        <x:f>IF(A1004="","",DATE(YEAR(A1004),MONTH(A1004),1))</x:f>
      </x:c>
    </x:row>
    <x:row r="1005">
      <x:c r="A1005" s="9"/>
      <x:c r="B1005" s="7"/>
      <x:c r="C1005" s="7" t="str">
        <x:f>IF(B1005="","",XLOOKUP(B1005,Employees!$A$4:$A$53,Employees!$B$4:$B$53,""))</x:f>
      </x:c>
      <x:c r="D1005" s="7"/>
      <x:c r="E1005" s="10" t="n">
        <x:v>8</x:v>
      </x:c>
      <x:c r="F1005" s="10"/>
      <x:c r="G1005" s="10" t="str">
        <x:f>IF(F1005="","",MIN(F1005,E1005))</x:f>
      </x:c>
      <x:c r="H1005" s="10" t="str">
        <x:f>IF(F1005="","",MAX(0,F1005-E1005))</x:f>
      </x:c>
      <x:c r="I1005" s="24"/>
      <x:c r="J1005" s="7"/>
      <x:c r="K1005" s="8" t="str">
        <x:f>IF(A1005="","",DATE(YEAR(A1005),MONTH(A1005),1))</x:f>
      </x:c>
    </x:row>
    <x:row r="1006">
      <x:c r="A1006" s="9"/>
      <x:c r="B1006" s="7"/>
      <x:c r="C1006" s="7" t="str">
        <x:f>IF(B1006="","",XLOOKUP(B1006,Employees!$A$4:$A$53,Employees!$B$4:$B$53,""))</x:f>
      </x:c>
      <x:c r="D1006" s="7"/>
      <x:c r="E1006" s="10" t="n">
        <x:v>8</x:v>
      </x:c>
      <x:c r="F1006" s="10"/>
      <x:c r="G1006" s="10" t="str">
        <x:f>IF(F1006="","",MIN(F1006,E1006))</x:f>
      </x:c>
      <x:c r="H1006" s="10" t="str">
        <x:f>IF(F1006="","",MAX(0,F1006-E1006))</x:f>
      </x:c>
      <x:c r="I1006" s="24"/>
      <x:c r="J1006" s="7"/>
      <x:c r="K1006" s="8" t="str">
        <x:f>IF(A1006="","",DATE(YEAR(A1006),MONTH(A1006),1))</x:f>
      </x:c>
    </x:row>
    <x:row r="1007">
      <x:c r="A1007" s="9"/>
      <x:c r="B1007" s="7"/>
      <x:c r="C1007" s="7" t="str">
        <x:f>IF(B1007="","",XLOOKUP(B1007,Employees!$A$4:$A$53,Employees!$B$4:$B$53,""))</x:f>
      </x:c>
      <x:c r="D1007" s="7"/>
      <x:c r="E1007" s="10" t="n">
        <x:v>8</x:v>
      </x:c>
      <x:c r="F1007" s="10"/>
      <x:c r="G1007" s="10" t="str">
        <x:f>IF(F1007="","",MIN(F1007,E1007))</x:f>
      </x:c>
      <x:c r="H1007" s="10" t="str">
        <x:f>IF(F1007="","",MAX(0,F1007-E1007))</x:f>
      </x:c>
      <x:c r="I1007" s="24"/>
      <x:c r="J1007" s="7"/>
      <x:c r="K1007" s="8" t="str">
        <x:f>IF(A1007="","",DATE(YEAR(A1007),MONTH(A1007),1))</x:f>
      </x:c>
    </x:row>
    <x:row r="1008">
      <x:c r="A1008" s="9"/>
      <x:c r="B1008" s="7"/>
      <x:c r="C1008" s="7" t="str">
        <x:f>IF(B1008="","",XLOOKUP(B1008,Employees!$A$4:$A$53,Employees!$B$4:$B$53,""))</x:f>
      </x:c>
      <x:c r="D1008" s="7"/>
      <x:c r="E1008" s="10" t="n">
        <x:v>8</x:v>
      </x:c>
      <x:c r="F1008" s="10"/>
      <x:c r="G1008" s="10" t="str">
        <x:f>IF(F1008="","",MIN(F1008,E1008))</x:f>
      </x:c>
      <x:c r="H1008" s="10" t="str">
        <x:f>IF(F1008="","",MAX(0,F1008-E1008))</x:f>
      </x:c>
      <x:c r="I1008" s="24"/>
      <x:c r="J1008" s="7"/>
      <x:c r="K1008" s="8" t="str">
        <x:f>IF(A1008="","",DATE(YEAR(A1008),MONTH(A1008),1))</x:f>
      </x:c>
    </x:row>
    <x:row r="1009">
      <x:c r="A1009" s="9"/>
      <x:c r="B1009" s="7"/>
      <x:c r="C1009" s="7" t="str">
        <x:f>IF(B1009="","",XLOOKUP(B1009,Employees!$A$4:$A$53,Employees!$B$4:$B$53,""))</x:f>
      </x:c>
      <x:c r="D1009" s="7"/>
      <x:c r="E1009" s="10" t="n">
        <x:v>8</x:v>
      </x:c>
      <x:c r="F1009" s="10"/>
      <x:c r="G1009" s="10" t="str">
        <x:f>IF(F1009="","",MIN(F1009,E1009))</x:f>
      </x:c>
      <x:c r="H1009" s="10" t="str">
        <x:f>IF(F1009="","",MAX(0,F1009-E1009))</x:f>
      </x:c>
      <x:c r="I1009" s="24"/>
      <x:c r="J1009" s="7"/>
      <x:c r="K1009" s="8" t="str">
        <x:f>IF(A1009="","",DATE(YEAR(A1009),MONTH(A1009),1))</x:f>
      </x:c>
    </x:row>
    <x:row r="1010">
      <x:c r="A1010" s="9"/>
      <x:c r="B1010" s="7"/>
      <x:c r="C1010" s="7" t="str">
        <x:f>IF(B1010="","",XLOOKUP(B1010,Employees!$A$4:$A$53,Employees!$B$4:$B$53,""))</x:f>
      </x:c>
      <x:c r="D1010" s="7"/>
      <x:c r="E1010" s="10" t="n">
        <x:v>8</x:v>
      </x:c>
      <x:c r="F1010" s="10"/>
      <x:c r="G1010" s="10" t="str">
        <x:f>IF(F1010="","",MIN(F1010,E1010))</x:f>
      </x:c>
      <x:c r="H1010" s="10" t="str">
        <x:f>IF(F1010="","",MAX(0,F1010-E1010))</x:f>
      </x:c>
      <x:c r="I1010" s="24"/>
      <x:c r="J1010" s="7"/>
      <x:c r="K1010" s="8" t="str">
        <x:f>IF(A1010="","",DATE(YEAR(A1010),MONTH(A1010),1))</x:f>
      </x:c>
    </x:row>
    <x:row r="1011">
      <x:c r="A1011" s="9"/>
      <x:c r="B1011" s="7"/>
      <x:c r="C1011" s="7" t="str">
        <x:f>IF(B1011="","",XLOOKUP(B1011,Employees!$A$4:$A$53,Employees!$B$4:$B$53,""))</x:f>
      </x:c>
      <x:c r="D1011" s="7"/>
      <x:c r="E1011" s="10" t="n">
        <x:v>8</x:v>
      </x:c>
      <x:c r="F1011" s="10"/>
      <x:c r="G1011" s="10" t="str">
        <x:f>IF(F1011="","",MIN(F1011,E1011))</x:f>
      </x:c>
      <x:c r="H1011" s="10" t="str">
        <x:f>IF(F1011="","",MAX(0,F1011-E1011))</x:f>
      </x:c>
      <x:c r="I1011" s="24"/>
      <x:c r="J1011" s="7"/>
      <x:c r="K1011" s="8" t="str">
        <x:f>IF(A1011="","",DATE(YEAR(A1011),MONTH(A1011),1))</x:f>
      </x:c>
    </x:row>
    <x:row r="1012">
      <x:c r="A1012" s="9"/>
      <x:c r="B1012" s="7"/>
      <x:c r="C1012" s="7" t="str">
        <x:f>IF(B1012="","",XLOOKUP(B1012,Employees!$A$4:$A$53,Employees!$B$4:$B$53,""))</x:f>
      </x:c>
      <x:c r="D1012" s="7"/>
      <x:c r="E1012" s="10" t="n">
        <x:v>8</x:v>
      </x:c>
      <x:c r="F1012" s="10"/>
      <x:c r="G1012" s="10" t="str">
        <x:f>IF(F1012="","",MIN(F1012,E1012))</x:f>
      </x:c>
      <x:c r="H1012" s="10" t="str">
        <x:f>IF(F1012="","",MAX(0,F1012-E1012))</x:f>
      </x:c>
      <x:c r="I1012" s="24"/>
      <x:c r="J1012" s="7"/>
      <x:c r="K1012" s="8" t="str">
        <x:f>IF(A1012="","",DATE(YEAR(A1012),MONTH(A1012),1))</x:f>
      </x:c>
    </x:row>
    <x:row r="1013">
      <x:c r="A1013" s="9"/>
      <x:c r="B1013" s="7"/>
      <x:c r="C1013" s="7" t="str">
        <x:f>IF(B1013="","",XLOOKUP(B1013,Employees!$A$4:$A$53,Employees!$B$4:$B$53,""))</x:f>
      </x:c>
      <x:c r="D1013" s="7"/>
      <x:c r="E1013" s="10" t="n">
        <x:v>8</x:v>
      </x:c>
      <x:c r="F1013" s="10"/>
      <x:c r="G1013" s="10" t="str">
        <x:f>IF(F1013="","",MIN(F1013,E1013))</x:f>
      </x:c>
      <x:c r="H1013" s="10" t="str">
        <x:f>IF(F1013="","",MAX(0,F1013-E1013))</x:f>
      </x:c>
      <x:c r="I1013" s="24"/>
      <x:c r="J1013" s="7"/>
      <x:c r="K1013" s="8" t="str">
        <x:f>IF(A1013="","",DATE(YEAR(A1013),MONTH(A1013),1))</x:f>
      </x:c>
    </x:row>
    <x:row r="1014">
      <x:c r="A1014" s="9"/>
      <x:c r="B1014" s="7"/>
      <x:c r="C1014" s="7" t="str">
        <x:f>IF(B1014="","",XLOOKUP(B1014,Employees!$A$4:$A$53,Employees!$B$4:$B$53,""))</x:f>
      </x:c>
      <x:c r="D1014" s="7"/>
      <x:c r="E1014" s="10" t="n">
        <x:v>8</x:v>
      </x:c>
      <x:c r="F1014" s="10"/>
      <x:c r="G1014" s="10" t="str">
        <x:f>IF(F1014="","",MIN(F1014,E1014))</x:f>
      </x:c>
      <x:c r="H1014" s="10" t="str">
        <x:f>IF(F1014="","",MAX(0,F1014-E1014))</x:f>
      </x:c>
      <x:c r="I1014" s="24"/>
      <x:c r="J1014" s="7"/>
      <x:c r="K1014" s="8" t="str">
        <x:f>IF(A1014="","",DATE(YEAR(A1014),MONTH(A1014),1))</x:f>
      </x:c>
    </x:row>
    <x:row r="1015">
      <x:c r="A1015" s="9"/>
      <x:c r="B1015" s="7"/>
      <x:c r="C1015" s="7" t="str">
        <x:f>IF(B1015="","",XLOOKUP(B1015,Employees!$A$4:$A$53,Employees!$B$4:$B$53,""))</x:f>
      </x:c>
      <x:c r="D1015" s="7"/>
      <x:c r="E1015" s="10" t="n">
        <x:v>8</x:v>
      </x:c>
      <x:c r="F1015" s="10"/>
      <x:c r="G1015" s="10" t="str">
        <x:f>IF(F1015="","",MIN(F1015,E1015))</x:f>
      </x:c>
      <x:c r="H1015" s="10" t="str">
        <x:f>IF(F1015="","",MAX(0,F1015-E1015))</x:f>
      </x:c>
      <x:c r="I1015" s="24"/>
      <x:c r="J1015" s="7"/>
      <x:c r="K1015" s="8" t="str">
        <x:f>IF(A1015="","",DATE(YEAR(A1015),MONTH(A1015),1))</x:f>
      </x:c>
    </x:row>
    <x:row r="1016">
      <x:c r="A1016" s="9"/>
      <x:c r="B1016" s="7"/>
      <x:c r="C1016" s="7" t="str">
        <x:f>IF(B1016="","",XLOOKUP(B1016,Employees!$A$4:$A$53,Employees!$B$4:$B$53,""))</x:f>
      </x:c>
      <x:c r="D1016" s="7"/>
      <x:c r="E1016" s="10" t="n">
        <x:v>8</x:v>
      </x:c>
      <x:c r="F1016" s="10"/>
      <x:c r="G1016" s="10" t="str">
        <x:f>IF(F1016="","",MIN(F1016,E1016))</x:f>
      </x:c>
      <x:c r="H1016" s="10" t="str">
        <x:f>IF(F1016="","",MAX(0,F1016-E1016))</x:f>
      </x:c>
      <x:c r="I1016" s="24"/>
      <x:c r="J1016" s="7"/>
      <x:c r="K1016" s="8" t="str">
        <x:f>IF(A1016="","",DATE(YEAR(A1016),MONTH(A1016),1))</x:f>
      </x:c>
    </x:row>
    <x:row r="1017">
      <x:c r="A1017" s="9"/>
      <x:c r="B1017" s="7"/>
      <x:c r="C1017" s="7" t="str">
        <x:f>IF(B1017="","",XLOOKUP(B1017,Employees!$A$4:$A$53,Employees!$B$4:$B$53,""))</x:f>
      </x:c>
      <x:c r="D1017" s="7"/>
      <x:c r="E1017" s="10" t="n">
        <x:v>8</x:v>
      </x:c>
      <x:c r="F1017" s="10"/>
      <x:c r="G1017" s="10" t="str">
        <x:f>IF(F1017="","",MIN(F1017,E1017))</x:f>
      </x:c>
      <x:c r="H1017" s="10" t="str">
        <x:f>IF(F1017="","",MAX(0,F1017-E1017))</x:f>
      </x:c>
      <x:c r="I1017" s="24"/>
      <x:c r="J1017" s="7"/>
      <x:c r="K1017" s="8" t="str">
        <x:f>IF(A1017="","",DATE(YEAR(A1017),MONTH(A1017),1))</x:f>
      </x:c>
    </x:row>
    <x:row r="1018">
      <x:c r="A1018" s="9"/>
      <x:c r="B1018" s="7"/>
      <x:c r="C1018" s="7" t="str">
        <x:f>IF(B1018="","",XLOOKUP(B1018,Employees!$A$4:$A$53,Employees!$B$4:$B$53,""))</x:f>
      </x:c>
      <x:c r="D1018" s="7"/>
      <x:c r="E1018" s="10" t="n">
        <x:v>8</x:v>
      </x:c>
      <x:c r="F1018" s="10"/>
      <x:c r="G1018" s="10" t="str">
        <x:f>IF(F1018="","",MIN(F1018,E1018))</x:f>
      </x:c>
      <x:c r="H1018" s="10" t="str">
        <x:f>IF(F1018="","",MAX(0,F1018-E1018))</x:f>
      </x:c>
      <x:c r="I1018" s="24"/>
      <x:c r="J1018" s="7"/>
      <x:c r="K1018" s="8" t="str">
        <x:f>IF(A1018="","",DATE(YEAR(A1018),MONTH(A1018),1))</x:f>
      </x:c>
    </x:row>
    <x:row r="1019">
      <x:c r="A1019" s="9"/>
      <x:c r="B1019" s="7"/>
      <x:c r="C1019" s="7" t="str">
        <x:f>IF(B1019="","",XLOOKUP(B1019,Employees!$A$4:$A$53,Employees!$B$4:$B$53,""))</x:f>
      </x:c>
      <x:c r="D1019" s="7"/>
      <x:c r="E1019" s="10" t="n">
        <x:v>8</x:v>
      </x:c>
      <x:c r="F1019" s="10"/>
      <x:c r="G1019" s="10" t="str">
        <x:f>IF(F1019="","",MIN(F1019,E1019))</x:f>
      </x:c>
      <x:c r="H1019" s="10" t="str">
        <x:f>IF(F1019="","",MAX(0,F1019-E1019))</x:f>
      </x:c>
      <x:c r="I1019" s="24"/>
      <x:c r="J1019" s="7"/>
      <x:c r="K1019" s="8" t="str">
        <x:f>IF(A1019="","",DATE(YEAR(A1019),MONTH(A1019),1))</x:f>
      </x:c>
    </x:row>
    <x:row r="1020">
      <x:c r="A1020" s="9"/>
      <x:c r="B1020" s="7"/>
      <x:c r="C1020" s="7" t="str">
        <x:f>IF(B1020="","",XLOOKUP(B1020,Employees!$A$4:$A$53,Employees!$B$4:$B$53,""))</x:f>
      </x:c>
      <x:c r="D1020" s="7"/>
      <x:c r="E1020" s="10" t="n">
        <x:v>8</x:v>
      </x:c>
      <x:c r="F1020" s="10"/>
      <x:c r="G1020" s="10" t="str">
        <x:f>IF(F1020="","",MIN(F1020,E1020))</x:f>
      </x:c>
      <x:c r="H1020" s="10" t="str">
        <x:f>IF(F1020="","",MAX(0,F1020-E1020))</x:f>
      </x:c>
      <x:c r="I1020" s="24"/>
      <x:c r="J1020" s="7"/>
      <x:c r="K1020" s="8" t="str">
        <x:f>IF(A1020="","",DATE(YEAR(A1020),MONTH(A1020),1))</x:f>
      </x:c>
    </x:row>
    <x:row r="1021">
      <x:c r="A1021" s="9"/>
      <x:c r="B1021" s="7"/>
      <x:c r="C1021" s="7" t="str">
        <x:f>IF(B1021="","",XLOOKUP(B1021,Employees!$A$4:$A$53,Employees!$B$4:$B$53,""))</x:f>
      </x:c>
      <x:c r="D1021" s="7"/>
      <x:c r="E1021" s="10" t="n">
        <x:v>8</x:v>
      </x:c>
      <x:c r="F1021" s="10"/>
      <x:c r="G1021" s="10" t="str">
        <x:f>IF(F1021="","",MIN(F1021,E1021))</x:f>
      </x:c>
      <x:c r="H1021" s="10" t="str">
        <x:f>IF(F1021="","",MAX(0,F1021-E1021))</x:f>
      </x:c>
      <x:c r="I1021" s="24"/>
      <x:c r="J1021" s="7"/>
      <x:c r="K1021" s="8" t="str">
        <x:f>IF(A1021="","",DATE(YEAR(A1021),MONTH(A1021),1))</x:f>
      </x:c>
    </x:row>
    <x:row r="1022">
      <x:c r="A1022" s="9"/>
      <x:c r="B1022" s="7"/>
      <x:c r="C1022" s="7" t="str">
        <x:f>IF(B1022="","",XLOOKUP(B1022,Employees!$A$4:$A$53,Employees!$B$4:$B$53,""))</x:f>
      </x:c>
      <x:c r="D1022" s="7"/>
      <x:c r="E1022" s="10" t="n">
        <x:v>8</x:v>
      </x:c>
      <x:c r="F1022" s="10"/>
      <x:c r="G1022" s="10" t="str">
        <x:f>IF(F1022="","",MIN(F1022,E1022))</x:f>
      </x:c>
      <x:c r="H1022" s="10" t="str">
        <x:f>IF(F1022="","",MAX(0,F1022-E1022))</x:f>
      </x:c>
      <x:c r="I1022" s="24"/>
      <x:c r="J1022" s="7"/>
      <x:c r="K1022" s="8" t="str">
        <x:f>IF(A1022="","",DATE(YEAR(A1022),MONTH(A1022),1))</x:f>
      </x:c>
    </x:row>
    <x:row r="1023">
      <x:c r="A1023" s="9"/>
      <x:c r="B1023" s="7"/>
      <x:c r="C1023" s="7" t="str">
        <x:f>IF(B1023="","",XLOOKUP(B1023,Employees!$A$4:$A$53,Employees!$B$4:$B$53,""))</x:f>
      </x:c>
      <x:c r="D1023" s="7"/>
      <x:c r="E1023" s="10" t="n">
        <x:v>8</x:v>
      </x:c>
      <x:c r="F1023" s="10"/>
      <x:c r="G1023" s="10" t="str">
        <x:f>IF(F1023="","",MIN(F1023,E1023))</x:f>
      </x:c>
      <x:c r="H1023" s="10" t="str">
        <x:f>IF(F1023="","",MAX(0,F1023-E1023))</x:f>
      </x:c>
      <x:c r="I1023" s="24"/>
      <x:c r="J1023" s="7"/>
      <x:c r="K1023" s="8" t="str">
        <x:f>IF(A1023="","",DATE(YEAR(A1023),MONTH(A1023),1))</x:f>
      </x:c>
    </x:row>
    <x:row r="1024">
      <x:c r="A1024" s="9"/>
      <x:c r="B1024" s="7"/>
      <x:c r="C1024" s="7" t="str">
        <x:f>IF(B1024="","",XLOOKUP(B1024,Employees!$A$4:$A$53,Employees!$B$4:$B$53,""))</x:f>
      </x:c>
      <x:c r="D1024" s="7"/>
      <x:c r="E1024" s="10" t="n">
        <x:v>8</x:v>
      </x:c>
      <x:c r="F1024" s="10"/>
      <x:c r="G1024" s="10" t="str">
        <x:f>IF(F1024="","",MIN(F1024,E1024))</x:f>
      </x:c>
      <x:c r="H1024" s="10" t="str">
        <x:f>IF(F1024="","",MAX(0,F1024-E1024))</x:f>
      </x:c>
      <x:c r="I1024" s="24"/>
      <x:c r="J1024" s="7"/>
      <x:c r="K1024" s="8" t="str">
        <x:f>IF(A1024="","",DATE(YEAR(A1024),MONTH(A1024),1))</x:f>
      </x:c>
    </x:row>
    <x:row r="1025">
      <x:c r="A1025" s="9"/>
      <x:c r="B1025" s="7"/>
      <x:c r="C1025" s="7" t="str">
        <x:f>IF(B1025="","",XLOOKUP(B1025,Employees!$A$4:$A$53,Employees!$B$4:$B$53,""))</x:f>
      </x:c>
      <x:c r="D1025" s="7"/>
      <x:c r="E1025" s="10" t="n">
        <x:v>8</x:v>
      </x:c>
      <x:c r="F1025" s="10"/>
      <x:c r="G1025" s="10" t="str">
        <x:f>IF(F1025="","",MIN(F1025,E1025))</x:f>
      </x:c>
      <x:c r="H1025" s="10" t="str">
        <x:f>IF(F1025="","",MAX(0,F1025-E1025))</x:f>
      </x:c>
      <x:c r="I1025" s="24"/>
      <x:c r="J1025" s="7"/>
      <x:c r="K1025" s="8" t="str">
        <x:f>IF(A1025="","",DATE(YEAR(A1025),MONTH(A1025),1))</x:f>
      </x:c>
    </x:row>
    <x:row r="1026">
      <x:c r="A1026" s="9"/>
      <x:c r="B1026" s="7"/>
      <x:c r="C1026" s="7" t="str">
        <x:f>IF(B1026="","",XLOOKUP(B1026,Employees!$A$4:$A$53,Employees!$B$4:$B$53,""))</x:f>
      </x:c>
      <x:c r="D1026" s="7"/>
      <x:c r="E1026" s="10" t="n">
        <x:v>8</x:v>
      </x:c>
      <x:c r="F1026" s="10"/>
      <x:c r="G1026" s="10" t="str">
        <x:f>IF(F1026="","",MIN(F1026,E1026))</x:f>
      </x:c>
      <x:c r="H1026" s="10" t="str">
        <x:f>IF(F1026="","",MAX(0,F1026-E1026))</x:f>
      </x:c>
      <x:c r="I1026" s="24"/>
      <x:c r="J1026" s="7"/>
      <x:c r="K1026" s="8" t="str">
        <x:f>IF(A1026="","",DATE(YEAR(A1026),MONTH(A1026),1))</x:f>
      </x:c>
    </x:row>
    <x:row r="1027">
      <x:c r="A1027" s="9"/>
      <x:c r="B1027" s="7"/>
      <x:c r="C1027" s="7" t="str">
        <x:f>IF(B1027="","",XLOOKUP(B1027,Employees!$A$4:$A$53,Employees!$B$4:$B$53,""))</x:f>
      </x:c>
      <x:c r="D1027" s="7"/>
      <x:c r="E1027" s="10" t="n">
        <x:v>8</x:v>
      </x:c>
      <x:c r="F1027" s="10"/>
      <x:c r="G1027" s="10" t="str">
        <x:f>IF(F1027="","",MIN(F1027,E1027))</x:f>
      </x:c>
      <x:c r="H1027" s="10" t="str">
        <x:f>IF(F1027="","",MAX(0,F1027-E1027))</x:f>
      </x:c>
      <x:c r="I1027" s="24"/>
      <x:c r="J1027" s="7"/>
      <x:c r="K1027" s="8" t="str">
        <x:f>IF(A1027="","",DATE(YEAR(A1027),MONTH(A1027),1))</x:f>
      </x:c>
    </x:row>
    <x:row r="1028">
      <x:c r="A1028" s="9"/>
      <x:c r="B1028" s="7"/>
      <x:c r="C1028" s="7" t="str">
        <x:f>IF(B1028="","",XLOOKUP(B1028,Employees!$A$4:$A$53,Employees!$B$4:$B$53,""))</x:f>
      </x:c>
      <x:c r="D1028" s="7"/>
      <x:c r="E1028" s="10" t="n">
        <x:v>8</x:v>
      </x:c>
      <x:c r="F1028" s="10"/>
      <x:c r="G1028" s="10" t="str">
        <x:f>IF(F1028="","",MIN(F1028,E1028))</x:f>
      </x:c>
      <x:c r="H1028" s="10" t="str">
        <x:f>IF(F1028="","",MAX(0,F1028-E1028))</x:f>
      </x:c>
      <x:c r="I1028" s="24"/>
      <x:c r="J1028" s="7"/>
      <x:c r="K1028" s="8" t="str">
        <x:f>IF(A1028="","",DATE(YEAR(A1028),MONTH(A1028),1))</x:f>
      </x:c>
    </x:row>
    <x:row r="1029">
      <x:c r="A1029" s="9"/>
      <x:c r="B1029" s="7"/>
      <x:c r="C1029" s="7" t="str">
        <x:f>IF(B1029="","",XLOOKUP(B1029,Employees!$A$4:$A$53,Employees!$B$4:$B$53,""))</x:f>
      </x:c>
      <x:c r="D1029" s="7"/>
      <x:c r="E1029" s="10" t="n">
        <x:v>8</x:v>
      </x:c>
      <x:c r="F1029" s="10"/>
      <x:c r="G1029" s="10" t="str">
        <x:f>IF(F1029="","",MIN(F1029,E1029))</x:f>
      </x:c>
      <x:c r="H1029" s="10" t="str">
        <x:f>IF(F1029="","",MAX(0,F1029-E1029))</x:f>
      </x:c>
      <x:c r="I1029" s="24"/>
      <x:c r="J1029" s="7"/>
      <x:c r="K1029" s="8" t="str">
        <x:f>IF(A1029="","",DATE(YEAR(A1029),MONTH(A1029),1))</x:f>
      </x:c>
    </x:row>
    <x:row r="1030">
      <x:c r="A1030" s="9"/>
      <x:c r="B1030" s="7"/>
      <x:c r="C1030" s="7" t="str">
        <x:f>IF(B1030="","",XLOOKUP(B1030,Employees!$A$4:$A$53,Employees!$B$4:$B$53,""))</x:f>
      </x:c>
      <x:c r="D1030" s="7"/>
      <x:c r="E1030" s="10" t="n">
        <x:v>8</x:v>
      </x:c>
      <x:c r="F1030" s="10"/>
      <x:c r="G1030" s="10" t="str">
        <x:f>IF(F1030="","",MIN(F1030,E1030))</x:f>
      </x:c>
      <x:c r="H1030" s="10" t="str">
        <x:f>IF(F1030="","",MAX(0,F1030-E1030))</x:f>
      </x:c>
      <x:c r="I1030" s="24"/>
      <x:c r="J1030" s="7"/>
      <x:c r="K1030" s="8" t="str">
        <x:f>IF(A1030="","",DATE(YEAR(A1030),MONTH(A1030),1))</x:f>
      </x:c>
    </x:row>
    <x:row r="1031">
      <x:c r="A1031" s="9"/>
      <x:c r="B1031" s="7"/>
      <x:c r="C1031" s="7" t="str">
        <x:f>IF(B1031="","",XLOOKUP(B1031,Employees!$A$4:$A$53,Employees!$B$4:$B$53,""))</x:f>
      </x:c>
      <x:c r="D1031" s="7"/>
      <x:c r="E1031" s="10" t="n">
        <x:v>8</x:v>
      </x:c>
      <x:c r="F1031" s="10"/>
      <x:c r="G1031" s="10" t="str">
        <x:f>IF(F1031="","",MIN(F1031,E1031))</x:f>
      </x:c>
      <x:c r="H1031" s="10" t="str">
        <x:f>IF(F1031="","",MAX(0,F1031-E1031))</x:f>
      </x:c>
      <x:c r="I1031" s="24"/>
      <x:c r="J1031" s="7"/>
      <x:c r="K1031" s="8" t="str">
        <x:f>IF(A1031="","",DATE(YEAR(A1031),MONTH(A1031),1))</x:f>
      </x:c>
    </x:row>
    <x:row r="1032">
      <x:c r="A1032" s="9"/>
      <x:c r="B1032" s="7"/>
      <x:c r="C1032" s="7" t="str">
        <x:f>IF(B1032="","",XLOOKUP(B1032,Employees!$A$4:$A$53,Employees!$B$4:$B$53,""))</x:f>
      </x:c>
      <x:c r="D1032" s="7"/>
      <x:c r="E1032" s="10" t="n">
        <x:v>8</x:v>
      </x:c>
      <x:c r="F1032" s="10"/>
      <x:c r="G1032" s="10" t="str">
        <x:f>IF(F1032="","",MIN(F1032,E1032))</x:f>
      </x:c>
      <x:c r="H1032" s="10" t="str">
        <x:f>IF(F1032="","",MAX(0,F1032-E1032))</x:f>
      </x:c>
      <x:c r="I1032" s="24"/>
      <x:c r="J1032" s="7"/>
      <x:c r="K1032" s="8" t="str">
        <x:f>IF(A1032="","",DATE(YEAR(A1032),MONTH(A1032),1))</x:f>
      </x:c>
    </x:row>
    <x:row r="1033">
      <x:c r="A1033" s="9"/>
      <x:c r="B1033" s="7"/>
      <x:c r="C1033" s="7" t="str">
        <x:f>IF(B1033="","",XLOOKUP(B1033,Employees!$A$4:$A$53,Employees!$B$4:$B$53,""))</x:f>
      </x:c>
      <x:c r="D1033" s="7"/>
      <x:c r="E1033" s="10" t="n">
        <x:v>8</x:v>
      </x:c>
      <x:c r="F1033" s="10"/>
      <x:c r="G1033" s="10" t="str">
        <x:f>IF(F1033="","",MIN(F1033,E1033))</x:f>
      </x:c>
      <x:c r="H1033" s="10" t="str">
        <x:f>IF(F1033="","",MAX(0,F1033-E1033))</x:f>
      </x:c>
      <x:c r="I1033" s="24"/>
      <x:c r="J1033" s="7"/>
      <x:c r="K1033" s="8" t="str">
        <x:f>IF(A1033="","",DATE(YEAR(A1033),MONTH(A1033),1))</x:f>
      </x:c>
    </x:row>
    <x:row r="1034">
      <x:c r="A1034" s="9"/>
      <x:c r="B1034" s="7"/>
      <x:c r="C1034" s="7" t="str">
        <x:f>IF(B1034="","",XLOOKUP(B1034,Employees!$A$4:$A$53,Employees!$B$4:$B$53,""))</x:f>
      </x:c>
      <x:c r="D1034" s="7"/>
      <x:c r="E1034" s="10" t="n">
        <x:v>8</x:v>
      </x:c>
      <x:c r="F1034" s="10"/>
      <x:c r="G1034" s="10" t="str">
        <x:f>IF(F1034="","",MIN(F1034,E1034))</x:f>
      </x:c>
      <x:c r="H1034" s="10" t="str">
        <x:f>IF(F1034="","",MAX(0,F1034-E1034))</x:f>
      </x:c>
      <x:c r="I1034" s="24"/>
      <x:c r="J1034" s="7"/>
      <x:c r="K1034" s="8" t="str">
        <x:f>IF(A1034="","",DATE(YEAR(A1034),MONTH(A1034),1))</x:f>
      </x:c>
    </x:row>
    <x:row r="1035">
      <x:c r="A1035" s="9"/>
      <x:c r="B1035" s="7"/>
      <x:c r="C1035" s="7" t="str">
        <x:f>IF(B1035="","",XLOOKUP(B1035,Employees!$A$4:$A$53,Employees!$B$4:$B$53,""))</x:f>
      </x:c>
      <x:c r="D1035" s="7"/>
      <x:c r="E1035" s="10" t="n">
        <x:v>8</x:v>
      </x:c>
      <x:c r="F1035" s="10"/>
      <x:c r="G1035" s="10" t="str">
        <x:f>IF(F1035="","",MIN(F1035,E1035))</x:f>
      </x:c>
      <x:c r="H1035" s="10" t="str">
        <x:f>IF(F1035="","",MAX(0,F1035-E1035))</x:f>
      </x:c>
      <x:c r="I1035" s="24"/>
      <x:c r="J1035" s="7"/>
      <x:c r="K1035" s="8" t="str">
        <x:f>IF(A1035="","",DATE(YEAR(A1035),MONTH(A1035),1))</x:f>
      </x:c>
    </x:row>
    <x:row r="1036">
      <x:c r="A1036" s="9"/>
      <x:c r="B1036" s="7"/>
      <x:c r="C1036" s="7" t="str">
        <x:f>IF(B1036="","",XLOOKUP(B1036,Employees!$A$4:$A$53,Employees!$B$4:$B$53,""))</x:f>
      </x:c>
      <x:c r="D1036" s="7"/>
      <x:c r="E1036" s="10" t="n">
        <x:v>8</x:v>
      </x:c>
      <x:c r="F1036" s="10"/>
      <x:c r="G1036" s="10" t="str">
        <x:f>IF(F1036="","",MIN(F1036,E1036))</x:f>
      </x:c>
      <x:c r="H1036" s="10" t="str">
        <x:f>IF(F1036="","",MAX(0,F1036-E1036))</x:f>
      </x:c>
      <x:c r="I1036" s="24"/>
      <x:c r="J1036" s="7"/>
      <x:c r="K1036" s="8" t="str">
        <x:f>IF(A1036="","",DATE(YEAR(A1036),MONTH(A1036),1))</x:f>
      </x:c>
    </x:row>
    <x:row r="1037">
      <x:c r="A1037" s="9"/>
      <x:c r="B1037" s="7"/>
      <x:c r="C1037" s="7" t="str">
        <x:f>IF(B1037="","",XLOOKUP(B1037,Employees!$A$4:$A$53,Employees!$B$4:$B$53,""))</x:f>
      </x:c>
      <x:c r="D1037" s="7"/>
      <x:c r="E1037" s="10" t="n">
        <x:v>8</x:v>
      </x:c>
      <x:c r="F1037" s="10"/>
      <x:c r="G1037" s="10" t="str">
        <x:f>IF(F1037="","",MIN(F1037,E1037))</x:f>
      </x:c>
      <x:c r="H1037" s="10" t="str">
        <x:f>IF(F1037="","",MAX(0,F1037-E1037))</x:f>
      </x:c>
      <x:c r="I1037" s="24"/>
      <x:c r="J1037" s="7"/>
      <x:c r="K1037" s="8" t="str">
        <x:f>IF(A1037="","",DATE(YEAR(A1037),MONTH(A1037),1))</x:f>
      </x:c>
    </x:row>
    <x:row r="1038">
      <x:c r="A1038" s="9"/>
      <x:c r="B1038" s="7"/>
      <x:c r="C1038" s="7" t="str">
        <x:f>IF(B1038="","",XLOOKUP(B1038,Employees!$A$4:$A$53,Employees!$B$4:$B$53,""))</x:f>
      </x:c>
      <x:c r="D1038" s="7"/>
      <x:c r="E1038" s="10" t="n">
        <x:v>8</x:v>
      </x:c>
      <x:c r="F1038" s="10"/>
      <x:c r="G1038" s="10" t="str">
        <x:f>IF(F1038="","",MIN(F1038,E1038))</x:f>
      </x:c>
      <x:c r="H1038" s="10" t="str">
        <x:f>IF(F1038="","",MAX(0,F1038-E1038))</x:f>
      </x:c>
      <x:c r="I1038" s="24"/>
      <x:c r="J1038" s="7"/>
      <x:c r="K1038" s="8" t="str">
        <x:f>IF(A1038="","",DATE(YEAR(A1038),MONTH(A1038),1))</x:f>
      </x:c>
    </x:row>
    <x:row r="1039">
      <x:c r="A1039" s="9"/>
      <x:c r="B1039" s="7"/>
      <x:c r="C1039" s="7" t="str">
        <x:f>IF(B1039="","",XLOOKUP(B1039,Employees!$A$4:$A$53,Employees!$B$4:$B$53,""))</x:f>
      </x:c>
      <x:c r="D1039" s="7"/>
      <x:c r="E1039" s="10" t="n">
        <x:v>8</x:v>
      </x:c>
      <x:c r="F1039" s="10"/>
      <x:c r="G1039" s="10" t="str">
        <x:f>IF(F1039="","",MIN(F1039,E1039))</x:f>
      </x:c>
      <x:c r="H1039" s="10" t="str">
        <x:f>IF(F1039="","",MAX(0,F1039-E1039))</x:f>
      </x:c>
      <x:c r="I1039" s="24"/>
      <x:c r="J1039" s="7"/>
      <x:c r="K1039" s="8" t="str">
        <x:f>IF(A1039="","",DATE(YEAR(A1039),MONTH(A1039),1))</x:f>
      </x:c>
    </x:row>
    <x:row r="1040">
      <x:c r="A1040" s="9"/>
      <x:c r="B1040" s="7"/>
      <x:c r="C1040" s="7" t="str">
        <x:f>IF(B1040="","",XLOOKUP(B1040,Employees!$A$4:$A$53,Employees!$B$4:$B$53,""))</x:f>
      </x:c>
      <x:c r="D1040" s="7"/>
      <x:c r="E1040" s="10" t="n">
        <x:v>8</x:v>
      </x:c>
      <x:c r="F1040" s="10"/>
      <x:c r="G1040" s="10" t="str">
        <x:f>IF(F1040="","",MIN(F1040,E1040))</x:f>
      </x:c>
      <x:c r="H1040" s="10" t="str">
        <x:f>IF(F1040="","",MAX(0,F1040-E1040))</x:f>
      </x:c>
      <x:c r="I1040" s="24"/>
      <x:c r="J1040" s="7"/>
      <x:c r="K1040" s="8" t="str">
        <x:f>IF(A1040="","",DATE(YEAR(A1040),MONTH(A1040),1))</x:f>
      </x:c>
    </x:row>
    <x:row r="1041">
      <x:c r="A1041" s="9"/>
      <x:c r="B1041" s="7"/>
      <x:c r="C1041" s="7" t="str">
        <x:f>IF(B1041="","",XLOOKUP(B1041,Employees!$A$4:$A$53,Employees!$B$4:$B$53,""))</x:f>
      </x:c>
      <x:c r="D1041" s="7"/>
      <x:c r="E1041" s="10" t="n">
        <x:v>8</x:v>
      </x:c>
      <x:c r="F1041" s="10"/>
      <x:c r="G1041" s="10" t="str">
        <x:f>IF(F1041="","",MIN(F1041,E1041))</x:f>
      </x:c>
      <x:c r="H1041" s="10" t="str">
        <x:f>IF(F1041="","",MAX(0,F1041-E1041))</x:f>
      </x:c>
      <x:c r="I1041" s="24"/>
      <x:c r="J1041" s="7"/>
      <x:c r="K1041" s="8" t="str">
        <x:f>IF(A1041="","",DATE(YEAR(A1041),MONTH(A1041),1))</x:f>
      </x:c>
    </x:row>
    <x:row r="1042">
      <x:c r="A1042" s="9"/>
      <x:c r="B1042" s="7"/>
      <x:c r="C1042" s="7" t="str">
        <x:f>IF(B1042="","",XLOOKUP(B1042,Employees!$A$4:$A$53,Employees!$B$4:$B$53,""))</x:f>
      </x:c>
      <x:c r="D1042" s="7"/>
      <x:c r="E1042" s="10" t="n">
        <x:v>8</x:v>
      </x:c>
      <x:c r="F1042" s="10"/>
      <x:c r="G1042" s="10" t="str">
        <x:f>IF(F1042="","",MIN(F1042,E1042))</x:f>
      </x:c>
      <x:c r="H1042" s="10" t="str">
        <x:f>IF(F1042="","",MAX(0,F1042-E1042))</x:f>
      </x:c>
      <x:c r="I1042" s="24"/>
      <x:c r="J1042" s="7"/>
      <x:c r="K1042" s="8" t="str">
        <x:f>IF(A1042="","",DATE(YEAR(A1042),MONTH(A1042),1))</x:f>
      </x:c>
    </x:row>
    <x:row r="1043">
      <x:c r="A1043" s="9"/>
      <x:c r="B1043" s="7"/>
      <x:c r="C1043" s="7" t="str">
        <x:f>IF(B1043="","",XLOOKUP(B1043,Employees!$A$4:$A$53,Employees!$B$4:$B$53,""))</x:f>
      </x:c>
      <x:c r="D1043" s="7"/>
      <x:c r="E1043" s="10" t="n">
        <x:v>8</x:v>
      </x:c>
      <x:c r="F1043" s="10"/>
      <x:c r="G1043" s="10" t="str">
        <x:f>IF(F1043="","",MIN(F1043,E1043))</x:f>
      </x:c>
      <x:c r="H1043" s="10" t="str">
        <x:f>IF(F1043="","",MAX(0,F1043-E1043))</x:f>
      </x:c>
      <x:c r="I1043" s="24"/>
      <x:c r="J1043" s="7"/>
      <x:c r="K1043" s="8" t="str">
        <x:f>IF(A1043="","",DATE(YEAR(A1043),MONTH(A1043),1))</x:f>
      </x:c>
    </x:row>
    <x:row r="1044">
      <x:c r="A1044" s="9"/>
      <x:c r="B1044" s="7"/>
      <x:c r="C1044" s="7" t="str">
        <x:f>IF(B1044="","",XLOOKUP(B1044,Employees!$A$4:$A$53,Employees!$B$4:$B$53,""))</x:f>
      </x:c>
      <x:c r="D1044" s="7"/>
      <x:c r="E1044" s="10" t="n">
        <x:v>8</x:v>
      </x:c>
      <x:c r="F1044" s="10"/>
      <x:c r="G1044" s="10" t="str">
        <x:f>IF(F1044="","",MIN(F1044,E1044))</x:f>
      </x:c>
      <x:c r="H1044" s="10" t="str">
        <x:f>IF(F1044="","",MAX(0,F1044-E1044))</x:f>
      </x:c>
      <x:c r="I1044" s="24"/>
      <x:c r="J1044" s="7"/>
      <x:c r="K1044" s="8" t="str">
        <x:f>IF(A1044="","",DATE(YEAR(A1044),MONTH(A1044),1))</x:f>
      </x:c>
    </x:row>
    <x:row r="1045">
      <x:c r="A1045" s="9"/>
      <x:c r="B1045" s="7"/>
      <x:c r="C1045" s="7" t="str">
        <x:f>IF(B1045="","",XLOOKUP(B1045,Employees!$A$4:$A$53,Employees!$B$4:$B$53,""))</x:f>
      </x:c>
      <x:c r="D1045" s="7"/>
      <x:c r="E1045" s="10" t="n">
        <x:v>8</x:v>
      </x:c>
      <x:c r="F1045" s="10"/>
      <x:c r="G1045" s="10" t="str">
        <x:f>IF(F1045="","",MIN(F1045,E1045))</x:f>
      </x:c>
      <x:c r="H1045" s="10" t="str">
        <x:f>IF(F1045="","",MAX(0,F1045-E1045))</x:f>
      </x:c>
      <x:c r="I1045" s="24"/>
      <x:c r="J1045" s="7"/>
      <x:c r="K1045" s="8" t="str">
        <x:f>IF(A1045="","",DATE(YEAR(A1045),MONTH(A1045),1))</x:f>
      </x:c>
    </x:row>
    <x:row r="1046">
      <x:c r="A1046" s="9"/>
      <x:c r="B1046" s="7"/>
      <x:c r="C1046" s="7" t="str">
        <x:f>IF(B1046="","",XLOOKUP(B1046,Employees!$A$4:$A$53,Employees!$B$4:$B$53,""))</x:f>
      </x:c>
      <x:c r="D1046" s="7"/>
      <x:c r="E1046" s="10" t="n">
        <x:v>8</x:v>
      </x:c>
      <x:c r="F1046" s="10"/>
      <x:c r="G1046" s="10" t="str">
        <x:f>IF(F1046="","",MIN(F1046,E1046))</x:f>
      </x:c>
      <x:c r="H1046" s="10" t="str">
        <x:f>IF(F1046="","",MAX(0,F1046-E1046))</x:f>
      </x:c>
      <x:c r="I1046" s="24"/>
      <x:c r="J1046" s="7"/>
      <x:c r="K1046" s="8" t="str">
        <x:f>IF(A1046="","",DATE(YEAR(A1046),MONTH(A1046),1))</x:f>
      </x:c>
    </x:row>
    <x:row r="1047">
      <x:c r="A1047" s="9"/>
      <x:c r="B1047" s="7"/>
      <x:c r="C1047" s="7" t="str">
        <x:f>IF(B1047="","",XLOOKUP(B1047,Employees!$A$4:$A$53,Employees!$B$4:$B$53,""))</x:f>
      </x:c>
      <x:c r="D1047" s="7"/>
      <x:c r="E1047" s="10" t="n">
        <x:v>8</x:v>
      </x:c>
      <x:c r="F1047" s="10"/>
      <x:c r="G1047" s="10" t="str">
        <x:f>IF(F1047="","",MIN(F1047,E1047))</x:f>
      </x:c>
      <x:c r="H1047" s="10" t="str">
        <x:f>IF(F1047="","",MAX(0,F1047-E1047))</x:f>
      </x:c>
      <x:c r="I1047" s="24"/>
      <x:c r="J1047" s="7"/>
      <x:c r="K1047" s="8" t="str">
        <x:f>IF(A1047="","",DATE(YEAR(A1047),MONTH(A1047),1))</x:f>
      </x:c>
    </x:row>
    <x:row r="1048">
      <x:c r="A1048" s="9"/>
      <x:c r="B1048" s="7"/>
      <x:c r="C1048" s="7" t="str">
        <x:f>IF(B1048="","",XLOOKUP(B1048,Employees!$A$4:$A$53,Employees!$B$4:$B$53,""))</x:f>
      </x:c>
      <x:c r="D1048" s="7"/>
      <x:c r="E1048" s="10" t="n">
        <x:v>8</x:v>
      </x:c>
      <x:c r="F1048" s="10"/>
      <x:c r="G1048" s="10" t="str">
        <x:f>IF(F1048="","",MIN(F1048,E1048))</x:f>
      </x:c>
      <x:c r="H1048" s="10" t="str">
        <x:f>IF(F1048="","",MAX(0,F1048-E1048))</x:f>
      </x:c>
      <x:c r="I1048" s="24"/>
      <x:c r="J1048" s="7"/>
      <x:c r="K1048" s="8" t="str">
        <x:f>IF(A1048="","",DATE(YEAR(A1048),MONTH(A1048),1))</x:f>
      </x:c>
    </x:row>
    <x:row r="1049">
      <x:c r="A1049" s="9"/>
      <x:c r="B1049" s="7"/>
      <x:c r="C1049" s="7" t="str">
        <x:f>IF(B1049="","",XLOOKUP(B1049,Employees!$A$4:$A$53,Employees!$B$4:$B$53,""))</x:f>
      </x:c>
      <x:c r="D1049" s="7"/>
      <x:c r="E1049" s="10" t="n">
        <x:v>8</x:v>
      </x:c>
      <x:c r="F1049" s="10"/>
      <x:c r="G1049" s="10" t="str">
        <x:f>IF(F1049="","",MIN(F1049,E1049))</x:f>
      </x:c>
      <x:c r="H1049" s="10" t="str">
        <x:f>IF(F1049="","",MAX(0,F1049-E1049))</x:f>
      </x:c>
      <x:c r="I1049" s="24"/>
      <x:c r="J1049" s="7"/>
      <x:c r="K1049" s="8" t="str">
        <x:f>IF(A1049="","",DATE(YEAR(A1049),MONTH(A1049),1))</x:f>
      </x:c>
    </x:row>
    <x:row r="1050">
      <x:c r="A1050" s="9"/>
      <x:c r="B1050" s="7"/>
      <x:c r="C1050" s="7" t="str">
        <x:f>IF(B1050="","",XLOOKUP(B1050,Employees!$A$4:$A$53,Employees!$B$4:$B$53,""))</x:f>
      </x:c>
      <x:c r="D1050" s="7"/>
      <x:c r="E1050" s="10" t="n">
        <x:v>8</x:v>
      </x:c>
      <x:c r="F1050" s="10"/>
      <x:c r="G1050" s="10" t="str">
        <x:f>IF(F1050="","",MIN(F1050,E1050))</x:f>
      </x:c>
      <x:c r="H1050" s="10" t="str">
        <x:f>IF(F1050="","",MAX(0,F1050-E1050))</x:f>
      </x:c>
      <x:c r="I1050" s="24"/>
      <x:c r="J1050" s="7"/>
      <x:c r="K1050" s="8" t="str">
        <x:f>IF(A1050="","",DATE(YEAR(A1050),MONTH(A1050),1))</x:f>
      </x:c>
    </x:row>
    <x:row r="1051">
      <x:c r="A1051" s="9"/>
      <x:c r="B1051" s="7"/>
      <x:c r="C1051" s="7" t="str">
        <x:f>IF(B1051="","",XLOOKUP(B1051,Employees!$A$4:$A$53,Employees!$B$4:$B$53,""))</x:f>
      </x:c>
      <x:c r="D1051" s="7"/>
      <x:c r="E1051" s="10" t="n">
        <x:v>8</x:v>
      </x:c>
      <x:c r="F1051" s="10"/>
      <x:c r="G1051" s="10" t="str">
        <x:f>IF(F1051="","",MIN(F1051,E1051))</x:f>
      </x:c>
      <x:c r="H1051" s="10" t="str">
        <x:f>IF(F1051="","",MAX(0,F1051-E1051))</x:f>
      </x:c>
      <x:c r="I1051" s="24"/>
      <x:c r="J1051" s="7"/>
      <x:c r="K1051" s="8" t="str">
        <x:f>IF(A1051="","",DATE(YEAR(A1051),MONTH(A1051),1))</x:f>
      </x:c>
    </x:row>
    <x:row r="1052">
      <x:c r="A1052" s="9"/>
      <x:c r="B1052" s="7"/>
      <x:c r="C1052" s="7" t="str">
        <x:f>IF(B1052="","",XLOOKUP(B1052,Employees!$A$4:$A$53,Employees!$B$4:$B$53,""))</x:f>
      </x:c>
      <x:c r="D1052" s="7"/>
      <x:c r="E1052" s="10" t="n">
        <x:v>8</x:v>
      </x:c>
      <x:c r="F1052" s="10"/>
      <x:c r="G1052" s="10" t="str">
        <x:f>IF(F1052="","",MIN(F1052,E1052))</x:f>
      </x:c>
      <x:c r="H1052" s="10" t="str">
        <x:f>IF(F1052="","",MAX(0,F1052-E1052))</x:f>
      </x:c>
      <x:c r="I1052" s="24"/>
      <x:c r="J1052" s="7"/>
      <x:c r="K1052" s="8" t="str">
        <x:f>IF(A1052="","",DATE(YEAR(A1052),MONTH(A1052),1))</x:f>
      </x:c>
    </x:row>
    <x:row r="1053">
      <x:c r="A1053" s="9"/>
      <x:c r="B1053" s="7"/>
      <x:c r="C1053" s="7" t="str">
        <x:f>IF(B1053="","",XLOOKUP(B1053,Employees!$A$4:$A$53,Employees!$B$4:$B$53,""))</x:f>
      </x:c>
      <x:c r="D1053" s="7"/>
      <x:c r="E1053" s="10" t="n">
        <x:v>8</x:v>
      </x:c>
      <x:c r="F1053" s="10"/>
      <x:c r="G1053" s="10" t="str">
        <x:f>IF(F1053="","",MIN(F1053,E1053))</x:f>
      </x:c>
      <x:c r="H1053" s="10" t="str">
        <x:f>IF(F1053="","",MAX(0,F1053-E1053))</x:f>
      </x:c>
      <x:c r="I1053" s="24"/>
      <x:c r="J1053" s="7"/>
      <x:c r="K1053" s="8" t="str">
        <x:f>IF(A1053="","",DATE(YEAR(A1053),MONTH(A1053),1))</x:f>
      </x:c>
    </x:row>
    <x:row r="1054">
      <x:c r="A1054" s="9"/>
      <x:c r="B1054" s="7"/>
      <x:c r="C1054" s="7" t="str">
        <x:f>IF(B1054="","",XLOOKUP(B1054,Employees!$A$4:$A$53,Employees!$B$4:$B$53,""))</x:f>
      </x:c>
      <x:c r="D1054" s="7"/>
      <x:c r="E1054" s="10" t="n">
        <x:v>8</x:v>
      </x:c>
      <x:c r="F1054" s="10"/>
      <x:c r="G1054" s="10" t="str">
        <x:f>IF(F1054="","",MIN(F1054,E1054))</x:f>
      </x:c>
      <x:c r="H1054" s="10" t="str">
        <x:f>IF(F1054="","",MAX(0,F1054-E1054))</x:f>
      </x:c>
      <x:c r="I1054" s="24"/>
      <x:c r="J1054" s="7"/>
      <x:c r="K1054" s="8" t="str">
        <x:f>IF(A1054="","",DATE(YEAR(A1054),MONTH(A1054),1))</x:f>
      </x:c>
    </x:row>
    <x:row r="1055">
      <x:c r="A1055" s="9"/>
      <x:c r="B1055" s="7"/>
      <x:c r="C1055" s="7" t="str">
        <x:f>IF(B1055="","",XLOOKUP(B1055,Employees!$A$4:$A$53,Employees!$B$4:$B$53,""))</x:f>
      </x:c>
      <x:c r="D1055" s="7"/>
      <x:c r="E1055" s="10" t="n">
        <x:v>8</x:v>
      </x:c>
      <x:c r="F1055" s="10"/>
      <x:c r="G1055" s="10" t="str">
        <x:f>IF(F1055="","",MIN(F1055,E1055))</x:f>
      </x:c>
      <x:c r="H1055" s="10" t="str">
        <x:f>IF(F1055="","",MAX(0,F1055-E1055))</x:f>
      </x:c>
      <x:c r="I1055" s="24"/>
      <x:c r="J1055" s="7"/>
      <x:c r="K1055" s="8" t="str">
        <x:f>IF(A1055="","",DATE(YEAR(A1055),MONTH(A1055),1))</x:f>
      </x:c>
    </x:row>
    <x:row r="1056">
      <x:c r="A1056" s="9"/>
      <x:c r="B1056" s="7"/>
      <x:c r="C1056" s="7" t="str">
        <x:f>IF(B1056="","",XLOOKUP(B1056,Employees!$A$4:$A$53,Employees!$B$4:$B$53,""))</x:f>
      </x:c>
      <x:c r="D1056" s="7"/>
      <x:c r="E1056" s="10" t="n">
        <x:v>8</x:v>
      </x:c>
      <x:c r="F1056" s="10"/>
      <x:c r="G1056" s="10" t="str">
        <x:f>IF(F1056="","",MIN(F1056,E1056))</x:f>
      </x:c>
      <x:c r="H1056" s="10" t="str">
        <x:f>IF(F1056="","",MAX(0,F1056-E1056))</x:f>
      </x:c>
      <x:c r="I1056" s="24"/>
      <x:c r="J1056" s="7"/>
      <x:c r="K1056" s="8" t="str">
        <x:f>IF(A1056="","",DATE(YEAR(A1056),MONTH(A1056),1))</x:f>
      </x:c>
    </x:row>
    <x:row r="1057">
      <x:c r="A1057" s="9"/>
      <x:c r="B1057" s="7"/>
      <x:c r="C1057" s="7" t="str">
        <x:f>IF(B1057="","",XLOOKUP(B1057,Employees!$A$4:$A$53,Employees!$B$4:$B$53,""))</x:f>
      </x:c>
      <x:c r="D1057" s="7"/>
      <x:c r="E1057" s="10" t="n">
        <x:v>8</x:v>
      </x:c>
      <x:c r="F1057" s="10"/>
      <x:c r="G1057" s="10" t="str">
        <x:f>IF(F1057="","",MIN(F1057,E1057))</x:f>
      </x:c>
      <x:c r="H1057" s="10" t="str">
        <x:f>IF(F1057="","",MAX(0,F1057-E1057))</x:f>
      </x:c>
      <x:c r="I1057" s="24"/>
      <x:c r="J1057" s="7"/>
      <x:c r="K1057" s="8" t="str">
        <x:f>IF(A1057="","",DATE(YEAR(A1057),MONTH(A1057),1))</x:f>
      </x:c>
    </x:row>
    <x:row r="1058">
      <x:c r="A1058" s="9"/>
      <x:c r="B1058" s="7"/>
      <x:c r="C1058" s="7" t="str">
        <x:f>IF(B1058="","",XLOOKUP(B1058,Employees!$A$4:$A$53,Employees!$B$4:$B$53,""))</x:f>
      </x:c>
      <x:c r="D1058" s="7"/>
      <x:c r="E1058" s="10" t="n">
        <x:v>8</x:v>
      </x:c>
      <x:c r="F1058" s="10"/>
      <x:c r="G1058" s="10" t="str">
        <x:f>IF(F1058="","",MIN(F1058,E1058))</x:f>
      </x:c>
      <x:c r="H1058" s="10" t="str">
        <x:f>IF(F1058="","",MAX(0,F1058-E1058))</x:f>
      </x:c>
      <x:c r="I1058" s="24"/>
      <x:c r="J1058" s="7"/>
      <x:c r="K1058" s="8" t="str">
        <x:f>IF(A1058="","",DATE(YEAR(A1058),MONTH(A1058),1))</x:f>
      </x:c>
    </x:row>
    <x:row r="1059">
      <x:c r="A1059" s="9"/>
      <x:c r="B1059" s="7"/>
      <x:c r="C1059" s="7" t="str">
        <x:f>IF(B1059="","",XLOOKUP(B1059,Employees!$A$4:$A$53,Employees!$B$4:$B$53,""))</x:f>
      </x:c>
      <x:c r="D1059" s="7"/>
      <x:c r="E1059" s="10" t="n">
        <x:v>8</x:v>
      </x:c>
      <x:c r="F1059" s="10"/>
      <x:c r="G1059" s="10" t="str">
        <x:f>IF(F1059="","",MIN(F1059,E1059))</x:f>
      </x:c>
      <x:c r="H1059" s="10" t="str">
        <x:f>IF(F1059="","",MAX(0,F1059-E1059))</x:f>
      </x:c>
      <x:c r="I1059" s="24"/>
      <x:c r="J1059" s="7"/>
      <x:c r="K1059" s="8" t="str">
        <x:f>IF(A1059="","",DATE(YEAR(A1059),MONTH(A1059),1))</x:f>
      </x:c>
    </x:row>
    <x:row r="1060">
      <x:c r="A1060" s="9"/>
      <x:c r="B1060" s="7"/>
      <x:c r="C1060" s="7" t="str">
        <x:f>IF(B1060="","",XLOOKUP(B1060,Employees!$A$4:$A$53,Employees!$B$4:$B$53,""))</x:f>
      </x:c>
      <x:c r="D1060" s="7"/>
      <x:c r="E1060" s="10" t="n">
        <x:v>8</x:v>
      </x:c>
      <x:c r="F1060" s="10"/>
      <x:c r="G1060" s="10" t="str">
        <x:f>IF(F1060="","",MIN(F1060,E1060))</x:f>
      </x:c>
      <x:c r="H1060" s="10" t="str">
        <x:f>IF(F1060="","",MAX(0,F1060-E1060))</x:f>
      </x:c>
      <x:c r="I1060" s="24"/>
      <x:c r="J1060" s="7"/>
      <x:c r="K1060" s="8" t="str">
        <x:f>IF(A1060="","",DATE(YEAR(A1060),MONTH(A1060),1))</x:f>
      </x:c>
    </x:row>
    <x:row r="1061">
      <x:c r="A1061" s="9"/>
      <x:c r="B1061" s="7"/>
      <x:c r="C1061" s="7" t="str">
        <x:f>IF(B1061="","",XLOOKUP(B1061,Employees!$A$4:$A$53,Employees!$B$4:$B$53,""))</x:f>
      </x:c>
      <x:c r="D1061" s="7"/>
      <x:c r="E1061" s="10" t="n">
        <x:v>8</x:v>
      </x:c>
      <x:c r="F1061" s="10"/>
      <x:c r="G1061" s="10" t="str">
        <x:f>IF(F1061="","",MIN(F1061,E1061))</x:f>
      </x:c>
      <x:c r="H1061" s="10" t="str">
        <x:f>IF(F1061="","",MAX(0,F1061-E1061))</x:f>
      </x:c>
      <x:c r="I1061" s="24"/>
      <x:c r="J1061" s="7"/>
      <x:c r="K1061" s="8" t="str">
        <x:f>IF(A1061="","",DATE(YEAR(A1061),MONTH(A1061),1))</x:f>
      </x:c>
    </x:row>
    <x:row r="1062">
      <x:c r="A1062" s="9"/>
      <x:c r="B1062" s="7"/>
      <x:c r="C1062" s="7" t="str">
        <x:f>IF(B1062="","",XLOOKUP(B1062,Employees!$A$4:$A$53,Employees!$B$4:$B$53,""))</x:f>
      </x:c>
      <x:c r="D1062" s="7"/>
      <x:c r="E1062" s="10" t="n">
        <x:v>8</x:v>
      </x:c>
      <x:c r="F1062" s="10"/>
      <x:c r="G1062" s="10" t="str">
        <x:f>IF(F1062="","",MIN(F1062,E1062))</x:f>
      </x:c>
      <x:c r="H1062" s="10" t="str">
        <x:f>IF(F1062="","",MAX(0,F1062-E1062))</x:f>
      </x:c>
      <x:c r="I1062" s="24"/>
      <x:c r="J1062" s="7"/>
      <x:c r="K1062" s="8" t="str">
        <x:f>IF(A1062="","",DATE(YEAR(A1062),MONTH(A1062),1))</x:f>
      </x:c>
    </x:row>
    <x:row r="1063">
      <x:c r="A1063" s="9"/>
      <x:c r="B1063" s="7"/>
      <x:c r="C1063" s="7" t="str">
        <x:f>IF(B1063="","",XLOOKUP(B1063,Employees!$A$4:$A$53,Employees!$B$4:$B$53,""))</x:f>
      </x:c>
      <x:c r="D1063" s="7"/>
      <x:c r="E1063" s="10" t="n">
        <x:v>8</x:v>
      </x:c>
      <x:c r="F1063" s="10"/>
      <x:c r="G1063" s="10" t="str">
        <x:f>IF(F1063="","",MIN(F1063,E1063))</x:f>
      </x:c>
      <x:c r="H1063" s="10" t="str">
        <x:f>IF(F1063="","",MAX(0,F1063-E1063))</x:f>
      </x:c>
      <x:c r="I1063" s="24"/>
      <x:c r="J1063" s="7"/>
      <x:c r="K1063" s="8" t="str">
        <x:f>IF(A1063="","",DATE(YEAR(A1063),MONTH(A1063),1))</x:f>
      </x:c>
    </x:row>
    <x:row r="1064">
      <x:c r="A1064" s="9"/>
      <x:c r="B1064" s="7"/>
      <x:c r="C1064" s="7" t="str">
        <x:f>IF(B1064="","",XLOOKUP(B1064,Employees!$A$4:$A$53,Employees!$B$4:$B$53,""))</x:f>
      </x:c>
      <x:c r="D1064" s="7"/>
      <x:c r="E1064" s="10" t="n">
        <x:v>8</x:v>
      </x:c>
      <x:c r="F1064" s="10"/>
      <x:c r="G1064" s="10" t="str">
        <x:f>IF(F1064="","",MIN(F1064,E1064))</x:f>
      </x:c>
      <x:c r="H1064" s="10" t="str">
        <x:f>IF(F1064="","",MAX(0,F1064-E1064))</x:f>
      </x:c>
      <x:c r="I1064" s="24"/>
      <x:c r="J1064" s="7"/>
      <x:c r="K1064" s="8" t="str">
        <x:f>IF(A1064="","",DATE(YEAR(A1064),MONTH(A1064),1))</x:f>
      </x:c>
    </x:row>
    <x:row r="1065">
      <x:c r="A1065" s="9"/>
      <x:c r="B1065" s="7"/>
      <x:c r="C1065" s="7" t="str">
        <x:f>IF(B1065="","",XLOOKUP(B1065,Employees!$A$4:$A$53,Employees!$B$4:$B$53,""))</x:f>
      </x:c>
      <x:c r="D1065" s="7"/>
      <x:c r="E1065" s="10" t="n">
        <x:v>8</x:v>
      </x:c>
      <x:c r="F1065" s="10"/>
      <x:c r="G1065" s="10" t="str">
        <x:f>IF(F1065="","",MIN(F1065,E1065))</x:f>
      </x:c>
      <x:c r="H1065" s="10" t="str">
        <x:f>IF(F1065="","",MAX(0,F1065-E1065))</x:f>
      </x:c>
      <x:c r="I1065" s="24"/>
      <x:c r="J1065" s="7"/>
      <x:c r="K1065" s="8" t="str">
        <x:f>IF(A1065="","",DATE(YEAR(A1065),MONTH(A1065),1))</x:f>
      </x:c>
    </x:row>
    <x:row r="1066">
      <x:c r="A1066" s="9"/>
      <x:c r="B1066" s="7"/>
      <x:c r="C1066" s="7" t="str">
        <x:f>IF(B1066="","",XLOOKUP(B1066,Employees!$A$4:$A$53,Employees!$B$4:$B$53,""))</x:f>
      </x:c>
      <x:c r="D1066" s="7"/>
      <x:c r="E1066" s="10" t="n">
        <x:v>8</x:v>
      </x:c>
      <x:c r="F1066" s="10"/>
      <x:c r="G1066" s="10" t="str">
        <x:f>IF(F1066="","",MIN(F1066,E1066))</x:f>
      </x:c>
      <x:c r="H1066" s="10" t="str">
        <x:f>IF(F1066="","",MAX(0,F1066-E1066))</x:f>
      </x:c>
      <x:c r="I1066" s="24"/>
      <x:c r="J1066" s="7"/>
      <x:c r="K1066" s="8" t="str">
        <x:f>IF(A1066="","",DATE(YEAR(A1066),MONTH(A1066),1))</x:f>
      </x:c>
    </x:row>
    <x:row r="1067">
      <x:c r="A1067" s="9"/>
      <x:c r="B1067" s="7"/>
      <x:c r="C1067" s="7" t="str">
        <x:f>IF(B1067="","",XLOOKUP(B1067,Employees!$A$4:$A$53,Employees!$B$4:$B$53,""))</x:f>
      </x:c>
      <x:c r="D1067" s="7"/>
      <x:c r="E1067" s="10" t="n">
        <x:v>8</x:v>
      </x:c>
      <x:c r="F1067" s="10"/>
      <x:c r="G1067" s="10" t="str">
        <x:f>IF(F1067="","",MIN(F1067,E1067))</x:f>
      </x:c>
      <x:c r="H1067" s="10" t="str">
        <x:f>IF(F1067="","",MAX(0,F1067-E1067))</x:f>
      </x:c>
      <x:c r="I1067" s="24"/>
      <x:c r="J1067" s="7"/>
      <x:c r="K1067" s="8" t="str">
        <x:f>IF(A1067="","",DATE(YEAR(A1067),MONTH(A1067),1))</x:f>
      </x:c>
    </x:row>
    <x:row r="1068">
      <x:c r="A1068" s="9"/>
      <x:c r="B1068" s="7"/>
      <x:c r="C1068" s="7" t="str">
        <x:f>IF(B1068="","",XLOOKUP(B1068,Employees!$A$4:$A$53,Employees!$B$4:$B$53,""))</x:f>
      </x:c>
      <x:c r="D1068" s="7"/>
      <x:c r="E1068" s="10" t="n">
        <x:v>8</x:v>
      </x:c>
      <x:c r="F1068" s="10"/>
      <x:c r="G1068" s="10" t="str">
        <x:f>IF(F1068="","",MIN(F1068,E1068))</x:f>
      </x:c>
      <x:c r="H1068" s="10" t="str">
        <x:f>IF(F1068="","",MAX(0,F1068-E1068))</x:f>
      </x:c>
      <x:c r="I1068" s="24"/>
      <x:c r="J1068" s="7"/>
      <x:c r="K1068" s="8" t="str">
        <x:f>IF(A1068="","",DATE(YEAR(A1068),MONTH(A1068),1))</x:f>
      </x:c>
    </x:row>
    <x:row r="1069">
      <x:c r="A1069" s="9"/>
      <x:c r="B1069" s="7"/>
      <x:c r="C1069" s="7" t="str">
        <x:f>IF(B1069="","",XLOOKUP(B1069,Employees!$A$4:$A$53,Employees!$B$4:$B$53,""))</x:f>
      </x:c>
      <x:c r="D1069" s="7"/>
      <x:c r="E1069" s="10" t="n">
        <x:v>8</x:v>
      </x:c>
      <x:c r="F1069" s="10"/>
      <x:c r="G1069" s="10" t="str">
        <x:f>IF(F1069="","",MIN(F1069,E1069))</x:f>
      </x:c>
      <x:c r="H1069" s="10" t="str">
        <x:f>IF(F1069="","",MAX(0,F1069-E1069))</x:f>
      </x:c>
      <x:c r="I1069" s="24"/>
      <x:c r="J1069" s="7"/>
      <x:c r="K1069" s="8" t="str">
        <x:f>IF(A1069="","",DATE(YEAR(A1069),MONTH(A1069),1))</x:f>
      </x:c>
    </x:row>
    <x:row r="1070">
      <x:c r="A1070" s="9"/>
      <x:c r="B1070" s="7"/>
      <x:c r="C1070" s="7" t="str">
        <x:f>IF(B1070="","",XLOOKUP(B1070,Employees!$A$4:$A$53,Employees!$B$4:$B$53,""))</x:f>
      </x:c>
      <x:c r="D1070" s="7"/>
      <x:c r="E1070" s="10" t="n">
        <x:v>8</x:v>
      </x:c>
      <x:c r="F1070" s="10"/>
      <x:c r="G1070" s="10" t="str">
        <x:f>IF(F1070="","",MIN(F1070,E1070))</x:f>
      </x:c>
      <x:c r="H1070" s="10" t="str">
        <x:f>IF(F1070="","",MAX(0,F1070-E1070))</x:f>
      </x:c>
      <x:c r="I1070" s="24"/>
      <x:c r="J1070" s="7"/>
      <x:c r="K1070" s="8" t="str">
        <x:f>IF(A1070="","",DATE(YEAR(A1070),MONTH(A1070),1))</x:f>
      </x:c>
    </x:row>
    <x:row r="1071">
      <x:c r="A1071" s="9"/>
      <x:c r="B1071" s="7"/>
      <x:c r="C1071" s="7" t="str">
        <x:f>IF(B1071="","",XLOOKUP(B1071,Employees!$A$4:$A$53,Employees!$B$4:$B$53,""))</x:f>
      </x:c>
      <x:c r="D1071" s="7"/>
      <x:c r="E1071" s="10" t="n">
        <x:v>8</x:v>
      </x:c>
      <x:c r="F1071" s="10"/>
      <x:c r="G1071" s="10" t="str">
        <x:f>IF(F1071="","",MIN(F1071,E1071))</x:f>
      </x:c>
      <x:c r="H1071" s="10" t="str">
        <x:f>IF(F1071="","",MAX(0,F1071-E1071))</x:f>
      </x:c>
      <x:c r="I1071" s="24"/>
      <x:c r="J1071" s="7"/>
      <x:c r="K1071" s="8" t="str">
        <x:f>IF(A1071="","",DATE(YEAR(A1071),MONTH(A1071),1))</x:f>
      </x:c>
    </x:row>
    <x:row r="1072">
      <x:c r="A1072" s="9"/>
      <x:c r="B1072" s="7"/>
      <x:c r="C1072" s="7" t="str">
        <x:f>IF(B1072="","",XLOOKUP(B1072,Employees!$A$4:$A$53,Employees!$B$4:$B$53,""))</x:f>
      </x:c>
      <x:c r="D1072" s="7"/>
      <x:c r="E1072" s="10" t="n">
        <x:v>8</x:v>
      </x:c>
      <x:c r="F1072" s="10"/>
      <x:c r="G1072" s="10" t="str">
        <x:f>IF(F1072="","",MIN(F1072,E1072))</x:f>
      </x:c>
      <x:c r="H1072" s="10" t="str">
        <x:f>IF(F1072="","",MAX(0,F1072-E1072))</x:f>
      </x:c>
      <x:c r="I1072" s="24"/>
      <x:c r="J1072" s="7"/>
      <x:c r="K1072" s="8" t="str">
        <x:f>IF(A1072="","",DATE(YEAR(A1072),MONTH(A1072),1))</x:f>
      </x:c>
    </x:row>
    <x:row r="1073">
      <x:c r="A1073" s="9"/>
      <x:c r="B1073" s="7"/>
      <x:c r="C1073" s="7" t="str">
        <x:f>IF(B1073="","",XLOOKUP(B1073,Employees!$A$4:$A$53,Employees!$B$4:$B$53,""))</x:f>
      </x:c>
      <x:c r="D1073" s="7"/>
      <x:c r="E1073" s="10" t="n">
        <x:v>8</x:v>
      </x:c>
      <x:c r="F1073" s="10"/>
      <x:c r="G1073" s="10" t="str">
        <x:f>IF(F1073="","",MIN(F1073,E1073))</x:f>
      </x:c>
      <x:c r="H1073" s="10" t="str">
        <x:f>IF(F1073="","",MAX(0,F1073-E1073))</x:f>
      </x:c>
      <x:c r="I1073" s="24"/>
      <x:c r="J1073" s="7"/>
      <x:c r="K1073" s="8" t="str">
        <x:f>IF(A1073="","",DATE(YEAR(A1073),MONTH(A1073),1))</x:f>
      </x:c>
    </x:row>
    <x:row r="1074">
      <x:c r="A1074" s="9"/>
      <x:c r="B1074" s="7"/>
      <x:c r="C1074" s="7" t="str">
        <x:f>IF(B1074="","",XLOOKUP(B1074,Employees!$A$4:$A$53,Employees!$B$4:$B$53,""))</x:f>
      </x:c>
      <x:c r="D1074" s="7"/>
      <x:c r="E1074" s="10" t="n">
        <x:v>8</x:v>
      </x:c>
      <x:c r="F1074" s="10"/>
      <x:c r="G1074" s="10" t="str">
        <x:f>IF(F1074="","",MIN(F1074,E1074))</x:f>
      </x:c>
      <x:c r="H1074" s="10" t="str">
        <x:f>IF(F1074="","",MAX(0,F1074-E1074))</x:f>
      </x:c>
      <x:c r="I1074" s="24"/>
      <x:c r="J1074" s="7"/>
      <x:c r="K1074" s="8" t="str">
        <x:f>IF(A1074="","",DATE(YEAR(A1074),MONTH(A1074),1))</x:f>
      </x:c>
    </x:row>
    <x:row r="1075">
      <x:c r="A1075" s="9"/>
      <x:c r="B1075" s="7"/>
      <x:c r="C1075" s="7" t="str">
        <x:f>IF(B1075="","",XLOOKUP(B1075,Employees!$A$4:$A$53,Employees!$B$4:$B$53,""))</x:f>
      </x:c>
      <x:c r="D1075" s="7"/>
      <x:c r="E1075" s="10" t="n">
        <x:v>8</x:v>
      </x:c>
      <x:c r="F1075" s="10"/>
      <x:c r="G1075" s="10" t="str">
        <x:f>IF(F1075="","",MIN(F1075,E1075))</x:f>
      </x:c>
      <x:c r="H1075" s="10" t="str">
        <x:f>IF(F1075="","",MAX(0,F1075-E1075))</x:f>
      </x:c>
      <x:c r="I1075" s="24"/>
      <x:c r="J1075" s="7"/>
      <x:c r="K1075" s="8" t="str">
        <x:f>IF(A1075="","",DATE(YEAR(A1075),MONTH(A1075),1))</x:f>
      </x:c>
    </x:row>
    <x:row r="1076">
      <x:c r="A1076" s="9"/>
      <x:c r="B1076" s="7"/>
      <x:c r="C1076" s="7" t="str">
        <x:f>IF(B1076="","",XLOOKUP(B1076,Employees!$A$4:$A$53,Employees!$B$4:$B$53,""))</x:f>
      </x:c>
      <x:c r="D1076" s="7"/>
      <x:c r="E1076" s="10" t="n">
        <x:v>8</x:v>
      </x:c>
      <x:c r="F1076" s="10"/>
      <x:c r="G1076" s="10" t="str">
        <x:f>IF(F1076="","",MIN(F1076,E1076))</x:f>
      </x:c>
      <x:c r="H1076" s="10" t="str">
        <x:f>IF(F1076="","",MAX(0,F1076-E1076))</x:f>
      </x:c>
      <x:c r="I1076" s="24"/>
      <x:c r="J1076" s="7"/>
      <x:c r="K1076" s="8" t="str">
        <x:f>IF(A1076="","",DATE(YEAR(A1076),MONTH(A1076),1))</x:f>
      </x:c>
    </x:row>
    <x:row r="1077">
      <x:c r="A1077" s="9"/>
      <x:c r="B1077" s="7"/>
      <x:c r="C1077" s="7" t="str">
        <x:f>IF(B1077="","",XLOOKUP(B1077,Employees!$A$4:$A$53,Employees!$B$4:$B$53,""))</x:f>
      </x:c>
      <x:c r="D1077" s="7"/>
      <x:c r="E1077" s="10" t="n">
        <x:v>8</x:v>
      </x:c>
      <x:c r="F1077" s="10"/>
      <x:c r="G1077" s="10" t="str">
        <x:f>IF(F1077="","",MIN(F1077,E1077))</x:f>
      </x:c>
      <x:c r="H1077" s="10" t="str">
        <x:f>IF(F1077="","",MAX(0,F1077-E1077))</x:f>
      </x:c>
      <x:c r="I1077" s="24"/>
      <x:c r="J1077" s="7"/>
      <x:c r="K1077" s="8" t="str">
        <x:f>IF(A1077="","",DATE(YEAR(A1077),MONTH(A1077),1))</x:f>
      </x:c>
    </x:row>
    <x:row r="1078">
      <x:c r="A1078" s="9"/>
      <x:c r="B1078" s="7"/>
      <x:c r="C1078" s="7" t="str">
        <x:f>IF(B1078="","",XLOOKUP(B1078,Employees!$A$4:$A$53,Employees!$B$4:$B$53,""))</x:f>
      </x:c>
      <x:c r="D1078" s="7"/>
      <x:c r="E1078" s="10" t="n">
        <x:v>8</x:v>
      </x:c>
      <x:c r="F1078" s="10"/>
      <x:c r="G1078" s="10" t="str">
        <x:f>IF(F1078="","",MIN(F1078,E1078))</x:f>
      </x:c>
      <x:c r="H1078" s="10" t="str">
        <x:f>IF(F1078="","",MAX(0,F1078-E1078))</x:f>
      </x:c>
      <x:c r="I1078" s="24"/>
      <x:c r="J1078" s="7"/>
      <x:c r="K1078" s="8" t="str">
        <x:f>IF(A1078="","",DATE(YEAR(A1078),MONTH(A1078),1))</x:f>
      </x:c>
    </x:row>
    <x:row r="1079">
      <x:c r="A1079" s="9"/>
      <x:c r="B1079" s="7"/>
      <x:c r="C1079" s="7" t="str">
        <x:f>IF(B1079="","",XLOOKUP(B1079,Employees!$A$4:$A$53,Employees!$B$4:$B$53,""))</x:f>
      </x:c>
      <x:c r="D1079" s="7"/>
      <x:c r="E1079" s="10" t="n">
        <x:v>8</x:v>
      </x:c>
      <x:c r="F1079" s="10"/>
      <x:c r="G1079" s="10" t="str">
        <x:f>IF(F1079="","",MIN(F1079,E1079))</x:f>
      </x:c>
      <x:c r="H1079" s="10" t="str">
        <x:f>IF(F1079="","",MAX(0,F1079-E1079))</x:f>
      </x:c>
      <x:c r="I1079" s="24"/>
      <x:c r="J1079" s="7"/>
      <x:c r="K1079" s="8" t="str">
        <x:f>IF(A1079="","",DATE(YEAR(A1079),MONTH(A1079),1))</x:f>
      </x:c>
    </x:row>
    <x:row r="1080">
      <x:c r="A1080" s="9"/>
      <x:c r="B1080" s="7"/>
      <x:c r="C1080" s="7" t="str">
        <x:f>IF(B1080="","",XLOOKUP(B1080,Employees!$A$4:$A$53,Employees!$B$4:$B$53,""))</x:f>
      </x:c>
      <x:c r="D1080" s="7"/>
      <x:c r="E1080" s="10" t="n">
        <x:v>8</x:v>
      </x:c>
      <x:c r="F1080" s="10"/>
      <x:c r="G1080" s="10" t="str">
        <x:f>IF(F1080="","",MIN(F1080,E1080))</x:f>
      </x:c>
      <x:c r="H1080" s="10" t="str">
        <x:f>IF(F1080="","",MAX(0,F1080-E1080))</x:f>
      </x:c>
      <x:c r="I1080" s="24"/>
      <x:c r="J1080" s="7"/>
      <x:c r="K1080" s="8" t="str">
        <x:f>IF(A1080="","",DATE(YEAR(A1080),MONTH(A1080),1))</x:f>
      </x:c>
    </x:row>
    <x:row r="1081">
      <x:c r="A1081" s="9"/>
      <x:c r="B1081" s="7"/>
      <x:c r="C1081" s="7" t="str">
        <x:f>IF(B1081="","",XLOOKUP(B1081,Employees!$A$4:$A$53,Employees!$B$4:$B$53,""))</x:f>
      </x:c>
      <x:c r="D1081" s="7"/>
      <x:c r="E1081" s="10" t="n">
        <x:v>8</x:v>
      </x:c>
      <x:c r="F1081" s="10"/>
      <x:c r="G1081" s="10" t="str">
        <x:f>IF(F1081="","",MIN(F1081,E1081))</x:f>
      </x:c>
      <x:c r="H1081" s="10" t="str">
        <x:f>IF(F1081="","",MAX(0,F1081-E1081))</x:f>
      </x:c>
      <x:c r="I1081" s="24"/>
      <x:c r="J1081" s="7"/>
      <x:c r="K1081" s="8" t="str">
        <x:f>IF(A1081="","",DATE(YEAR(A1081),MONTH(A1081),1))</x:f>
      </x:c>
    </x:row>
    <x:row r="1082">
      <x:c r="A1082" s="9"/>
      <x:c r="B1082" s="7"/>
      <x:c r="C1082" s="7" t="str">
        <x:f>IF(B1082="","",XLOOKUP(B1082,Employees!$A$4:$A$53,Employees!$B$4:$B$53,""))</x:f>
      </x:c>
      <x:c r="D1082" s="7"/>
      <x:c r="E1082" s="10" t="n">
        <x:v>8</x:v>
      </x:c>
      <x:c r="F1082" s="10"/>
      <x:c r="G1082" s="10" t="str">
        <x:f>IF(F1082="","",MIN(F1082,E1082))</x:f>
      </x:c>
      <x:c r="H1082" s="10" t="str">
        <x:f>IF(F1082="","",MAX(0,F1082-E1082))</x:f>
      </x:c>
      <x:c r="I1082" s="24"/>
      <x:c r="J1082" s="7"/>
      <x:c r="K1082" s="8" t="str">
        <x:f>IF(A1082="","",DATE(YEAR(A1082),MONTH(A1082),1))</x:f>
      </x:c>
    </x:row>
    <x:row r="1083">
      <x:c r="A1083" s="9"/>
      <x:c r="B1083" s="7"/>
      <x:c r="C1083" s="7" t="str">
        <x:f>IF(B1083="","",XLOOKUP(B1083,Employees!$A$4:$A$53,Employees!$B$4:$B$53,""))</x:f>
      </x:c>
      <x:c r="D1083" s="7"/>
      <x:c r="E1083" s="10" t="n">
        <x:v>8</x:v>
      </x:c>
      <x:c r="F1083" s="10"/>
      <x:c r="G1083" s="10" t="str">
        <x:f>IF(F1083="","",MIN(F1083,E1083))</x:f>
      </x:c>
      <x:c r="H1083" s="10" t="str">
        <x:f>IF(F1083="","",MAX(0,F1083-E1083))</x:f>
      </x:c>
      <x:c r="I1083" s="24"/>
      <x:c r="J1083" s="7"/>
      <x:c r="K1083" s="8" t="str">
        <x:f>IF(A1083="","",DATE(YEAR(A1083),MONTH(A1083),1))</x:f>
      </x:c>
    </x:row>
    <x:row r="1084">
      <x:c r="A1084" s="9"/>
      <x:c r="B1084" s="7"/>
      <x:c r="C1084" s="7" t="str">
        <x:f>IF(B1084="","",XLOOKUP(B1084,Employees!$A$4:$A$53,Employees!$B$4:$B$53,""))</x:f>
      </x:c>
      <x:c r="D1084" s="7"/>
      <x:c r="E1084" s="10" t="n">
        <x:v>8</x:v>
      </x:c>
      <x:c r="F1084" s="10"/>
      <x:c r="G1084" s="10" t="str">
        <x:f>IF(F1084="","",MIN(F1084,E1084))</x:f>
      </x:c>
      <x:c r="H1084" s="10" t="str">
        <x:f>IF(F1084="","",MAX(0,F1084-E1084))</x:f>
      </x:c>
      <x:c r="I1084" s="24"/>
      <x:c r="J1084" s="7"/>
      <x:c r="K1084" s="8" t="str">
        <x:f>IF(A1084="","",DATE(YEAR(A1084),MONTH(A1084),1))</x:f>
      </x:c>
    </x:row>
    <x:row r="1085">
      <x:c r="A1085" s="9"/>
      <x:c r="B1085" s="7"/>
      <x:c r="C1085" s="7" t="str">
        <x:f>IF(B1085="","",XLOOKUP(B1085,Employees!$A$4:$A$53,Employees!$B$4:$B$53,""))</x:f>
      </x:c>
      <x:c r="D1085" s="7"/>
      <x:c r="E1085" s="10" t="n">
        <x:v>8</x:v>
      </x:c>
      <x:c r="F1085" s="10"/>
      <x:c r="G1085" s="10" t="str">
        <x:f>IF(F1085="","",MIN(F1085,E1085))</x:f>
      </x:c>
      <x:c r="H1085" s="10" t="str">
        <x:f>IF(F1085="","",MAX(0,F1085-E1085))</x:f>
      </x:c>
      <x:c r="I1085" s="24"/>
      <x:c r="J1085" s="7"/>
      <x:c r="K1085" s="8" t="str">
        <x:f>IF(A1085="","",DATE(YEAR(A1085),MONTH(A1085),1))</x:f>
      </x:c>
    </x:row>
    <x:row r="1086">
      <x:c r="A1086" s="9"/>
      <x:c r="B1086" s="7"/>
      <x:c r="C1086" s="7" t="str">
        <x:f>IF(B1086="","",XLOOKUP(B1086,Employees!$A$4:$A$53,Employees!$B$4:$B$53,""))</x:f>
      </x:c>
      <x:c r="D1086" s="7"/>
      <x:c r="E1086" s="10" t="n">
        <x:v>8</x:v>
      </x:c>
      <x:c r="F1086" s="10"/>
      <x:c r="G1086" s="10" t="str">
        <x:f>IF(F1086="","",MIN(F1086,E1086))</x:f>
      </x:c>
      <x:c r="H1086" s="10" t="str">
        <x:f>IF(F1086="","",MAX(0,F1086-E1086))</x:f>
      </x:c>
      <x:c r="I1086" s="24"/>
      <x:c r="J1086" s="7"/>
      <x:c r="K1086" s="8" t="str">
        <x:f>IF(A1086="","",DATE(YEAR(A1086),MONTH(A1086),1))</x:f>
      </x:c>
    </x:row>
    <x:row r="1087">
      <x:c r="A1087" s="9"/>
      <x:c r="B1087" s="7"/>
      <x:c r="C1087" s="7" t="str">
        <x:f>IF(B1087="","",XLOOKUP(B1087,Employees!$A$4:$A$53,Employees!$B$4:$B$53,""))</x:f>
      </x:c>
      <x:c r="D1087" s="7"/>
      <x:c r="E1087" s="10" t="n">
        <x:v>8</x:v>
      </x:c>
      <x:c r="F1087" s="10"/>
      <x:c r="G1087" s="10" t="str">
        <x:f>IF(F1087="","",MIN(F1087,E1087))</x:f>
      </x:c>
      <x:c r="H1087" s="10" t="str">
        <x:f>IF(F1087="","",MAX(0,F1087-E1087))</x:f>
      </x:c>
      <x:c r="I1087" s="24"/>
      <x:c r="J1087" s="7"/>
      <x:c r="K1087" s="8" t="str">
        <x:f>IF(A1087="","",DATE(YEAR(A1087),MONTH(A1087),1))</x:f>
      </x:c>
    </x:row>
    <x:row r="1088">
      <x:c r="A1088" s="9"/>
      <x:c r="B1088" s="7"/>
      <x:c r="C1088" s="7" t="str">
        <x:f>IF(B1088="","",XLOOKUP(B1088,Employees!$A$4:$A$53,Employees!$B$4:$B$53,""))</x:f>
      </x:c>
      <x:c r="D1088" s="7"/>
      <x:c r="E1088" s="10" t="n">
        <x:v>8</x:v>
      </x:c>
      <x:c r="F1088" s="10"/>
      <x:c r="G1088" s="10" t="str">
        <x:f>IF(F1088="","",MIN(F1088,E1088))</x:f>
      </x:c>
      <x:c r="H1088" s="10" t="str">
        <x:f>IF(F1088="","",MAX(0,F1088-E1088))</x:f>
      </x:c>
      <x:c r="I1088" s="24"/>
      <x:c r="J1088" s="7"/>
      <x:c r="K1088" s="8" t="str">
        <x:f>IF(A1088="","",DATE(YEAR(A1088),MONTH(A1088),1))</x:f>
      </x:c>
    </x:row>
    <x:row r="1089">
      <x:c r="A1089" s="9"/>
      <x:c r="B1089" s="7"/>
      <x:c r="C1089" s="7" t="str">
        <x:f>IF(B1089="","",XLOOKUP(B1089,Employees!$A$4:$A$53,Employees!$B$4:$B$53,""))</x:f>
      </x:c>
      <x:c r="D1089" s="7"/>
      <x:c r="E1089" s="10" t="n">
        <x:v>8</x:v>
      </x:c>
      <x:c r="F1089" s="10"/>
      <x:c r="G1089" s="10" t="str">
        <x:f>IF(F1089="","",MIN(F1089,E1089))</x:f>
      </x:c>
      <x:c r="H1089" s="10" t="str">
        <x:f>IF(F1089="","",MAX(0,F1089-E1089))</x:f>
      </x:c>
      <x:c r="I1089" s="24"/>
      <x:c r="J1089" s="7"/>
      <x:c r="K1089" s="8" t="str">
        <x:f>IF(A1089="","",DATE(YEAR(A1089),MONTH(A1089),1))</x:f>
      </x:c>
    </x:row>
    <x:row r="1090">
      <x:c r="A1090" s="9"/>
      <x:c r="B1090" s="7"/>
      <x:c r="C1090" s="7" t="str">
        <x:f>IF(B1090="","",XLOOKUP(B1090,Employees!$A$4:$A$53,Employees!$B$4:$B$53,""))</x:f>
      </x:c>
      <x:c r="D1090" s="7"/>
      <x:c r="E1090" s="10" t="n">
        <x:v>8</x:v>
      </x:c>
      <x:c r="F1090" s="10"/>
      <x:c r="G1090" s="10" t="str">
        <x:f>IF(F1090="","",MIN(F1090,E1090))</x:f>
      </x:c>
      <x:c r="H1090" s="10" t="str">
        <x:f>IF(F1090="","",MAX(0,F1090-E1090))</x:f>
      </x:c>
      <x:c r="I1090" s="24"/>
      <x:c r="J1090" s="7"/>
      <x:c r="K1090" s="8" t="str">
        <x:f>IF(A1090="","",DATE(YEAR(A1090),MONTH(A1090),1))</x:f>
      </x:c>
    </x:row>
    <x:row r="1091">
      <x:c r="A1091" s="9"/>
      <x:c r="B1091" s="7"/>
      <x:c r="C1091" s="7" t="str">
        <x:f>IF(B1091="","",XLOOKUP(B1091,Employees!$A$4:$A$53,Employees!$B$4:$B$53,""))</x:f>
      </x:c>
      <x:c r="D1091" s="7"/>
      <x:c r="E1091" s="10" t="n">
        <x:v>8</x:v>
      </x:c>
      <x:c r="F1091" s="10"/>
      <x:c r="G1091" s="10" t="str">
        <x:f>IF(F1091="","",MIN(F1091,E1091))</x:f>
      </x:c>
      <x:c r="H1091" s="10" t="str">
        <x:f>IF(F1091="","",MAX(0,F1091-E1091))</x:f>
      </x:c>
      <x:c r="I1091" s="24"/>
      <x:c r="J1091" s="7"/>
      <x:c r="K1091" s="8" t="str">
        <x:f>IF(A1091="","",DATE(YEAR(A1091),MONTH(A1091),1))</x:f>
      </x:c>
    </x:row>
    <x:row r="1092">
      <x:c r="A1092" s="9"/>
      <x:c r="B1092" s="7"/>
      <x:c r="C1092" s="7" t="str">
        <x:f>IF(B1092="","",XLOOKUP(B1092,Employees!$A$4:$A$53,Employees!$B$4:$B$53,""))</x:f>
      </x:c>
      <x:c r="D1092" s="7"/>
      <x:c r="E1092" s="10" t="n">
        <x:v>8</x:v>
      </x:c>
      <x:c r="F1092" s="10"/>
      <x:c r="G1092" s="10" t="str">
        <x:f>IF(F1092="","",MIN(F1092,E1092))</x:f>
      </x:c>
      <x:c r="H1092" s="10" t="str">
        <x:f>IF(F1092="","",MAX(0,F1092-E1092))</x:f>
      </x:c>
      <x:c r="I1092" s="24"/>
      <x:c r="J1092" s="7"/>
      <x:c r="K1092" s="8" t="str">
        <x:f>IF(A1092="","",DATE(YEAR(A1092),MONTH(A1092),1))</x:f>
      </x:c>
    </x:row>
    <x:row r="1093">
      <x:c r="A1093" s="9"/>
      <x:c r="B1093" s="7"/>
      <x:c r="C1093" s="7" t="str">
        <x:f>IF(B1093="","",XLOOKUP(B1093,Employees!$A$4:$A$53,Employees!$B$4:$B$53,""))</x:f>
      </x:c>
      <x:c r="D1093" s="7"/>
      <x:c r="E1093" s="10" t="n">
        <x:v>8</x:v>
      </x:c>
      <x:c r="F1093" s="10"/>
      <x:c r="G1093" s="10" t="str">
        <x:f>IF(F1093="","",MIN(F1093,E1093))</x:f>
      </x:c>
      <x:c r="H1093" s="10" t="str">
        <x:f>IF(F1093="","",MAX(0,F1093-E1093))</x:f>
      </x:c>
      <x:c r="I1093" s="24"/>
      <x:c r="J1093" s="7"/>
      <x:c r="K1093" s="8" t="str">
        <x:f>IF(A1093="","",DATE(YEAR(A1093),MONTH(A1093),1))</x:f>
      </x:c>
    </x:row>
    <x:row r="1094">
      <x:c r="A1094" s="9"/>
      <x:c r="B1094" s="7"/>
      <x:c r="C1094" s="7" t="str">
        <x:f>IF(B1094="","",XLOOKUP(B1094,Employees!$A$4:$A$53,Employees!$B$4:$B$53,""))</x:f>
      </x:c>
      <x:c r="D1094" s="7"/>
      <x:c r="E1094" s="10" t="n">
        <x:v>8</x:v>
      </x:c>
      <x:c r="F1094" s="10"/>
      <x:c r="G1094" s="10" t="str">
        <x:f>IF(F1094="","",MIN(F1094,E1094))</x:f>
      </x:c>
      <x:c r="H1094" s="10" t="str">
        <x:f>IF(F1094="","",MAX(0,F1094-E1094))</x:f>
      </x:c>
      <x:c r="I1094" s="24"/>
      <x:c r="J1094" s="7"/>
      <x:c r="K1094" s="8" t="str">
        <x:f>IF(A1094="","",DATE(YEAR(A1094),MONTH(A1094),1))</x:f>
      </x:c>
    </x:row>
    <x:row r="1095">
      <x:c r="A1095" s="9"/>
      <x:c r="B1095" s="7"/>
      <x:c r="C1095" s="7" t="str">
        <x:f>IF(B1095="","",XLOOKUP(B1095,Employees!$A$4:$A$53,Employees!$B$4:$B$53,""))</x:f>
      </x:c>
      <x:c r="D1095" s="7"/>
      <x:c r="E1095" s="10" t="n">
        <x:v>8</x:v>
      </x:c>
      <x:c r="F1095" s="10"/>
      <x:c r="G1095" s="10" t="str">
        <x:f>IF(F1095="","",MIN(F1095,E1095))</x:f>
      </x:c>
      <x:c r="H1095" s="10" t="str">
        <x:f>IF(F1095="","",MAX(0,F1095-E1095))</x:f>
      </x:c>
      <x:c r="I1095" s="24"/>
      <x:c r="J1095" s="7"/>
      <x:c r="K1095" s="8" t="str">
        <x:f>IF(A1095="","",DATE(YEAR(A1095),MONTH(A1095),1))</x:f>
      </x:c>
    </x:row>
    <x:row r="1096">
      <x:c r="A1096" s="9"/>
      <x:c r="B1096" s="7"/>
      <x:c r="C1096" s="7" t="str">
        <x:f>IF(B1096="","",XLOOKUP(B1096,Employees!$A$4:$A$53,Employees!$B$4:$B$53,""))</x:f>
      </x:c>
      <x:c r="D1096" s="7"/>
      <x:c r="E1096" s="10" t="n">
        <x:v>8</x:v>
      </x:c>
      <x:c r="F1096" s="10"/>
      <x:c r="G1096" s="10" t="str">
        <x:f>IF(F1096="","",MIN(F1096,E1096))</x:f>
      </x:c>
      <x:c r="H1096" s="10" t="str">
        <x:f>IF(F1096="","",MAX(0,F1096-E1096))</x:f>
      </x:c>
      <x:c r="I1096" s="24"/>
      <x:c r="J1096" s="7"/>
      <x:c r="K1096" s="8" t="str">
        <x:f>IF(A1096="","",DATE(YEAR(A1096),MONTH(A1096),1))</x:f>
      </x:c>
    </x:row>
    <x:row r="1097">
      <x:c r="A1097" s="9"/>
      <x:c r="B1097" s="7"/>
      <x:c r="C1097" s="7" t="str">
        <x:f>IF(B1097="","",XLOOKUP(B1097,Employees!$A$4:$A$53,Employees!$B$4:$B$53,""))</x:f>
      </x:c>
      <x:c r="D1097" s="7"/>
      <x:c r="E1097" s="10" t="n">
        <x:v>8</x:v>
      </x:c>
      <x:c r="F1097" s="10"/>
      <x:c r="G1097" s="10" t="str">
        <x:f>IF(F1097="","",MIN(F1097,E1097))</x:f>
      </x:c>
      <x:c r="H1097" s="10" t="str">
        <x:f>IF(F1097="","",MAX(0,F1097-E1097))</x:f>
      </x:c>
      <x:c r="I1097" s="24"/>
      <x:c r="J1097" s="7"/>
      <x:c r="K1097" s="8" t="str">
        <x:f>IF(A1097="","",DATE(YEAR(A1097),MONTH(A1097),1))</x:f>
      </x:c>
    </x:row>
    <x:row r="1098">
      <x:c r="A1098" s="9"/>
      <x:c r="B1098" s="7"/>
      <x:c r="C1098" s="7" t="str">
        <x:f>IF(B1098="","",XLOOKUP(B1098,Employees!$A$4:$A$53,Employees!$B$4:$B$53,""))</x:f>
      </x:c>
      <x:c r="D1098" s="7"/>
      <x:c r="E1098" s="10" t="n">
        <x:v>8</x:v>
      </x:c>
      <x:c r="F1098" s="10"/>
      <x:c r="G1098" s="10" t="str">
        <x:f>IF(F1098="","",MIN(F1098,E1098))</x:f>
      </x:c>
      <x:c r="H1098" s="10" t="str">
        <x:f>IF(F1098="","",MAX(0,F1098-E1098))</x:f>
      </x:c>
      <x:c r="I1098" s="24"/>
      <x:c r="J1098" s="7"/>
      <x:c r="K1098" s="8" t="str">
        <x:f>IF(A1098="","",DATE(YEAR(A1098),MONTH(A1098),1))</x:f>
      </x:c>
    </x:row>
    <x:row r="1099">
      <x:c r="A1099" s="9"/>
      <x:c r="B1099" s="7"/>
      <x:c r="C1099" s="7" t="str">
        <x:f>IF(B1099="","",XLOOKUP(B1099,Employees!$A$4:$A$53,Employees!$B$4:$B$53,""))</x:f>
      </x:c>
      <x:c r="D1099" s="7"/>
      <x:c r="E1099" s="10" t="n">
        <x:v>8</x:v>
      </x:c>
      <x:c r="F1099" s="10"/>
      <x:c r="G1099" s="10" t="str">
        <x:f>IF(F1099="","",MIN(F1099,E1099))</x:f>
      </x:c>
      <x:c r="H1099" s="10" t="str">
        <x:f>IF(F1099="","",MAX(0,F1099-E1099))</x:f>
      </x:c>
      <x:c r="I1099" s="24"/>
      <x:c r="J1099" s="7"/>
      <x:c r="K1099" s="8" t="str">
        <x:f>IF(A1099="","",DATE(YEAR(A1099),MONTH(A1099),1))</x:f>
      </x:c>
    </x:row>
    <x:row r="1100">
      <x:c r="A1100" s="9"/>
      <x:c r="B1100" s="7"/>
      <x:c r="C1100" s="7" t="str">
        <x:f>IF(B1100="","",XLOOKUP(B1100,Employees!$A$4:$A$53,Employees!$B$4:$B$53,""))</x:f>
      </x:c>
      <x:c r="D1100" s="7"/>
      <x:c r="E1100" s="10" t="n">
        <x:v>8</x:v>
      </x:c>
      <x:c r="F1100" s="10"/>
      <x:c r="G1100" s="10" t="str">
        <x:f>IF(F1100="","",MIN(F1100,E1100))</x:f>
      </x:c>
      <x:c r="H1100" s="10" t="str">
        <x:f>IF(F1100="","",MAX(0,F1100-E1100))</x:f>
      </x:c>
      <x:c r="I1100" s="24"/>
      <x:c r="J1100" s="7"/>
      <x:c r="K1100" s="8" t="str">
        <x:f>IF(A1100="","",DATE(YEAR(A1100),MONTH(A1100),1))</x:f>
      </x:c>
    </x:row>
    <x:row r="1101">
      <x:c r="A1101" s="9"/>
      <x:c r="B1101" s="7"/>
      <x:c r="C1101" s="7" t="str">
        <x:f>IF(B1101="","",XLOOKUP(B1101,Employees!$A$4:$A$53,Employees!$B$4:$B$53,""))</x:f>
      </x:c>
      <x:c r="D1101" s="7"/>
      <x:c r="E1101" s="10" t="n">
        <x:v>8</x:v>
      </x:c>
      <x:c r="F1101" s="10"/>
      <x:c r="G1101" s="10" t="str">
        <x:f>IF(F1101="","",MIN(F1101,E1101))</x:f>
      </x:c>
      <x:c r="H1101" s="10" t="str">
        <x:f>IF(F1101="","",MAX(0,F1101-E1101))</x:f>
      </x:c>
      <x:c r="I1101" s="24"/>
      <x:c r="J1101" s="7"/>
      <x:c r="K1101" s="8" t="str">
        <x:f>IF(A1101="","",DATE(YEAR(A1101),MONTH(A1101),1))</x:f>
      </x:c>
    </x:row>
    <x:row r="1102">
      <x:c r="A1102" s="9"/>
      <x:c r="B1102" s="7"/>
      <x:c r="C1102" s="7" t="str">
        <x:f>IF(B1102="","",XLOOKUP(B1102,Employees!$A$4:$A$53,Employees!$B$4:$B$53,""))</x:f>
      </x:c>
      <x:c r="D1102" s="7"/>
      <x:c r="E1102" s="10" t="n">
        <x:v>8</x:v>
      </x:c>
      <x:c r="F1102" s="10"/>
      <x:c r="G1102" s="10" t="str">
        <x:f>IF(F1102="","",MIN(F1102,E1102))</x:f>
      </x:c>
      <x:c r="H1102" s="10" t="str">
        <x:f>IF(F1102="","",MAX(0,F1102-E1102))</x:f>
      </x:c>
      <x:c r="I1102" s="24"/>
      <x:c r="J1102" s="7"/>
      <x:c r="K1102" s="8" t="str">
        <x:f>IF(A1102="","",DATE(YEAR(A1102),MONTH(A1102),1))</x:f>
      </x:c>
    </x:row>
    <x:row r="1103">
      <x:c r="A1103" s="9"/>
      <x:c r="B1103" s="7"/>
      <x:c r="C1103" s="7" t="str">
        <x:f>IF(B1103="","",XLOOKUP(B1103,Employees!$A$4:$A$53,Employees!$B$4:$B$53,""))</x:f>
      </x:c>
      <x:c r="D1103" s="7"/>
      <x:c r="E1103" s="10" t="n">
        <x:v>8</x:v>
      </x:c>
      <x:c r="F1103" s="10"/>
      <x:c r="G1103" s="10" t="str">
        <x:f>IF(F1103="","",MIN(F1103,E1103))</x:f>
      </x:c>
      <x:c r="H1103" s="10" t="str">
        <x:f>IF(F1103="","",MAX(0,F1103-E1103))</x:f>
      </x:c>
      <x:c r="I1103" s="24"/>
      <x:c r="J1103" s="7"/>
      <x:c r="K1103" s="8" t="str">
        <x:f>IF(A1103="","",DATE(YEAR(A1103),MONTH(A1103),1))</x:f>
      </x:c>
    </x:row>
    <x:row r="1104">
      <x:c r="A1104" s="9"/>
      <x:c r="B1104" s="7"/>
      <x:c r="C1104" s="7" t="str">
        <x:f>IF(B1104="","",XLOOKUP(B1104,Employees!$A$4:$A$53,Employees!$B$4:$B$53,""))</x:f>
      </x:c>
      <x:c r="D1104" s="7"/>
      <x:c r="E1104" s="10" t="n">
        <x:v>8</x:v>
      </x:c>
      <x:c r="F1104" s="10"/>
      <x:c r="G1104" s="10" t="str">
        <x:f>IF(F1104="","",MIN(F1104,E1104))</x:f>
      </x:c>
      <x:c r="H1104" s="10" t="str">
        <x:f>IF(F1104="","",MAX(0,F1104-E1104))</x:f>
      </x:c>
      <x:c r="I1104" s="24"/>
      <x:c r="J1104" s="7"/>
      <x:c r="K1104" s="8" t="str">
        <x:f>IF(A1104="","",DATE(YEAR(A1104),MONTH(A1104),1))</x:f>
      </x:c>
    </x:row>
    <x:row r="1105">
      <x:c r="A1105" s="9"/>
      <x:c r="B1105" s="7"/>
      <x:c r="C1105" s="7" t="str">
        <x:f>IF(B1105="","",XLOOKUP(B1105,Employees!$A$4:$A$53,Employees!$B$4:$B$53,""))</x:f>
      </x:c>
      <x:c r="D1105" s="7"/>
      <x:c r="E1105" s="10" t="n">
        <x:v>8</x:v>
      </x:c>
      <x:c r="F1105" s="10"/>
      <x:c r="G1105" s="10" t="str">
        <x:f>IF(F1105="","",MIN(F1105,E1105))</x:f>
      </x:c>
      <x:c r="H1105" s="10" t="str">
        <x:f>IF(F1105="","",MAX(0,F1105-E1105))</x:f>
      </x:c>
      <x:c r="I1105" s="24"/>
      <x:c r="J1105" s="7"/>
      <x:c r="K1105" s="8" t="str">
        <x:f>IF(A1105="","",DATE(YEAR(A1105),MONTH(A1105),1))</x:f>
      </x:c>
    </x:row>
    <x:row r="1106">
      <x:c r="A1106" s="9"/>
      <x:c r="B1106" s="7"/>
      <x:c r="C1106" s="7" t="str">
        <x:f>IF(B1106="","",XLOOKUP(B1106,Employees!$A$4:$A$53,Employees!$B$4:$B$53,""))</x:f>
      </x:c>
      <x:c r="D1106" s="7"/>
      <x:c r="E1106" s="10" t="n">
        <x:v>8</x:v>
      </x:c>
      <x:c r="F1106" s="10"/>
      <x:c r="G1106" s="10" t="str">
        <x:f>IF(F1106="","",MIN(F1106,E1106))</x:f>
      </x:c>
      <x:c r="H1106" s="10" t="str">
        <x:f>IF(F1106="","",MAX(0,F1106-E1106))</x:f>
      </x:c>
      <x:c r="I1106" s="24"/>
      <x:c r="J1106" s="7"/>
      <x:c r="K1106" s="8" t="str">
        <x:f>IF(A1106="","",DATE(YEAR(A1106),MONTH(A1106),1))</x:f>
      </x:c>
    </x:row>
    <x:row r="1107">
      <x:c r="A1107" s="9"/>
      <x:c r="B1107" s="7"/>
      <x:c r="C1107" s="7" t="str">
        <x:f>IF(B1107="","",XLOOKUP(B1107,Employees!$A$4:$A$53,Employees!$B$4:$B$53,""))</x:f>
      </x:c>
      <x:c r="D1107" s="7"/>
      <x:c r="E1107" s="10" t="n">
        <x:v>8</x:v>
      </x:c>
      <x:c r="F1107" s="10"/>
      <x:c r="G1107" s="10" t="str">
        <x:f>IF(F1107="","",MIN(F1107,E1107))</x:f>
      </x:c>
      <x:c r="H1107" s="10" t="str">
        <x:f>IF(F1107="","",MAX(0,F1107-E1107))</x:f>
      </x:c>
      <x:c r="I1107" s="24"/>
      <x:c r="J1107" s="7"/>
      <x:c r="K1107" s="8" t="str">
        <x:f>IF(A1107="","",DATE(YEAR(A1107),MONTH(A1107),1))</x:f>
      </x:c>
    </x:row>
    <x:row r="1108">
      <x:c r="A1108" s="9"/>
      <x:c r="B1108" s="7"/>
      <x:c r="C1108" s="7" t="str">
        <x:f>IF(B1108="","",XLOOKUP(B1108,Employees!$A$4:$A$53,Employees!$B$4:$B$53,""))</x:f>
      </x:c>
      <x:c r="D1108" s="7"/>
      <x:c r="E1108" s="10" t="n">
        <x:v>8</x:v>
      </x:c>
      <x:c r="F1108" s="10"/>
      <x:c r="G1108" s="10" t="str">
        <x:f>IF(F1108="","",MIN(F1108,E1108))</x:f>
      </x:c>
      <x:c r="H1108" s="10" t="str">
        <x:f>IF(F1108="","",MAX(0,F1108-E1108))</x:f>
      </x:c>
      <x:c r="I1108" s="24"/>
      <x:c r="J1108" s="7"/>
      <x:c r="K1108" s="8" t="str">
        <x:f>IF(A1108="","",DATE(YEAR(A1108),MONTH(A1108),1))</x:f>
      </x:c>
    </x:row>
    <x:row r="1109">
      <x:c r="A1109" s="9"/>
      <x:c r="B1109" s="7"/>
      <x:c r="C1109" s="7" t="str">
        <x:f>IF(B1109="","",XLOOKUP(B1109,Employees!$A$4:$A$53,Employees!$B$4:$B$53,""))</x:f>
      </x:c>
      <x:c r="D1109" s="7"/>
      <x:c r="E1109" s="10" t="n">
        <x:v>8</x:v>
      </x:c>
      <x:c r="F1109" s="10"/>
      <x:c r="G1109" s="10" t="str">
        <x:f>IF(F1109="","",MIN(F1109,E1109))</x:f>
      </x:c>
      <x:c r="H1109" s="10" t="str">
        <x:f>IF(F1109="","",MAX(0,F1109-E1109))</x:f>
      </x:c>
      <x:c r="I1109" s="24"/>
      <x:c r="J1109" s="7"/>
      <x:c r="K1109" s="8" t="str">
        <x:f>IF(A1109="","",DATE(YEAR(A1109),MONTH(A1109),1))</x:f>
      </x:c>
    </x:row>
    <x:row r="1110">
      <x:c r="A1110" s="9"/>
      <x:c r="B1110" s="7"/>
      <x:c r="C1110" s="7" t="str">
        <x:f>IF(B1110="","",XLOOKUP(B1110,Employees!$A$4:$A$53,Employees!$B$4:$B$53,""))</x:f>
      </x:c>
      <x:c r="D1110" s="7"/>
      <x:c r="E1110" s="10" t="n">
        <x:v>8</x:v>
      </x:c>
      <x:c r="F1110" s="10"/>
      <x:c r="G1110" s="10" t="str">
        <x:f>IF(F1110="","",MIN(F1110,E1110))</x:f>
      </x:c>
      <x:c r="H1110" s="10" t="str">
        <x:f>IF(F1110="","",MAX(0,F1110-E1110))</x:f>
      </x:c>
      <x:c r="I1110" s="24"/>
      <x:c r="J1110" s="7"/>
      <x:c r="K1110" s="8" t="str">
        <x:f>IF(A1110="","",DATE(YEAR(A1110),MONTH(A1110),1))</x:f>
      </x:c>
    </x:row>
    <x:row r="1111">
      <x:c r="A1111" s="9"/>
      <x:c r="B1111" s="7"/>
      <x:c r="C1111" s="7" t="str">
        <x:f>IF(B1111="","",XLOOKUP(B1111,Employees!$A$4:$A$53,Employees!$B$4:$B$53,""))</x:f>
      </x:c>
      <x:c r="D1111" s="7"/>
      <x:c r="E1111" s="10" t="n">
        <x:v>8</x:v>
      </x:c>
      <x:c r="F1111" s="10"/>
      <x:c r="G1111" s="10" t="str">
        <x:f>IF(F1111="","",MIN(F1111,E1111))</x:f>
      </x:c>
      <x:c r="H1111" s="10" t="str">
        <x:f>IF(F1111="","",MAX(0,F1111-E1111))</x:f>
      </x:c>
      <x:c r="I1111" s="24"/>
      <x:c r="J1111" s="7"/>
      <x:c r="K1111" s="8" t="str">
        <x:f>IF(A1111="","",DATE(YEAR(A1111),MONTH(A1111),1))</x:f>
      </x:c>
    </x:row>
    <x:row r="1112">
      <x:c r="A1112" s="9"/>
      <x:c r="B1112" s="7"/>
      <x:c r="C1112" s="7" t="str">
        <x:f>IF(B1112="","",XLOOKUP(B1112,Employees!$A$4:$A$53,Employees!$B$4:$B$53,""))</x:f>
      </x:c>
      <x:c r="D1112" s="7"/>
      <x:c r="E1112" s="10" t="n">
        <x:v>8</x:v>
      </x:c>
      <x:c r="F1112" s="10"/>
      <x:c r="G1112" s="10" t="str">
        <x:f>IF(F1112="","",MIN(F1112,E1112))</x:f>
      </x:c>
      <x:c r="H1112" s="10" t="str">
        <x:f>IF(F1112="","",MAX(0,F1112-E1112))</x:f>
      </x:c>
      <x:c r="I1112" s="24"/>
      <x:c r="J1112" s="7"/>
      <x:c r="K1112" s="8" t="str">
        <x:f>IF(A1112="","",DATE(YEAR(A1112),MONTH(A1112),1))</x:f>
      </x:c>
    </x:row>
    <x:row r="1113">
      <x:c r="A1113" s="9"/>
      <x:c r="B1113" s="7"/>
      <x:c r="C1113" s="7" t="str">
        <x:f>IF(B1113="","",XLOOKUP(B1113,Employees!$A$4:$A$53,Employees!$B$4:$B$53,""))</x:f>
      </x:c>
      <x:c r="D1113" s="7"/>
      <x:c r="E1113" s="10" t="n">
        <x:v>8</x:v>
      </x:c>
      <x:c r="F1113" s="10"/>
      <x:c r="G1113" s="10" t="str">
        <x:f>IF(F1113="","",MIN(F1113,E1113))</x:f>
      </x:c>
      <x:c r="H1113" s="10" t="str">
        <x:f>IF(F1113="","",MAX(0,F1113-E1113))</x:f>
      </x:c>
      <x:c r="I1113" s="24"/>
      <x:c r="J1113" s="7"/>
      <x:c r="K1113" s="8" t="str">
        <x:f>IF(A1113="","",DATE(YEAR(A1113),MONTH(A1113),1))</x:f>
      </x:c>
    </x:row>
    <x:row r="1114">
      <x:c r="A1114" s="9"/>
      <x:c r="B1114" s="7"/>
      <x:c r="C1114" s="7" t="str">
        <x:f>IF(B1114="","",XLOOKUP(B1114,Employees!$A$4:$A$53,Employees!$B$4:$B$53,""))</x:f>
      </x:c>
      <x:c r="D1114" s="7"/>
      <x:c r="E1114" s="10" t="n">
        <x:v>8</x:v>
      </x:c>
      <x:c r="F1114" s="10"/>
      <x:c r="G1114" s="10" t="str">
        <x:f>IF(F1114="","",MIN(F1114,E1114))</x:f>
      </x:c>
      <x:c r="H1114" s="10" t="str">
        <x:f>IF(F1114="","",MAX(0,F1114-E1114))</x:f>
      </x:c>
      <x:c r="I1114" s="24"/>
      <x:c r="J1114" s="7"/>
      <x:c r="K1114" s="8" t="str">
        <x:f>IF(A1114="","",DATE(YEAR(A1114),MONTH(A1114),1))</x:f>
      </x:c>
    </x:row>
    <x:row r="1115">
      <x:c r="A1115" s="9"/>
      <x:c r="B1115" s="7"/>
      <x:c r="C1115" s="7" t="str">
        <x:f>IF(B1115="","",XLOOKUP(B1115,Employees!$A$4:$A$53,Employees!$B$4:$B$53,""))</x:f>
      </x:c>
      <x:c r="D1115" s="7"/>
      <x:c r="E1115" s="10" t="n">
        <x:v>8</x:v>
      </x:c>
      <x:c r="F1115" s="10"/>
      <x:c r="G1115" s="10" t="str">
        <x:f>IF(F1115="","",MIN(F1115,E1115))</x:f>
      </x:c>
      <x:c r="H1115" s="10" t="str">
        <x:f>IF(F1115="","",MAX(0,F1115-E1115))</x:f>
      </x:c>
      <x:c r="I1115" s="24"/>
      <x:c r="J1115" s="7"/>
      <x:c r="K1115" s="8" t="str">
        <x:f>IF(A1115="","",DATE(YEAR(A1115),MONTH(A1115),1))</x:f>
      </x:c>
    </x:row>
    <x:row r="1116">
      <x:c r="A1116" s="9"/>
      <x:c r="B1116" s="7"/>
      <x:c r="C1116" s="7" t="str">
        <x:f>IF(B1116="","",XLOOKUP(B1116,Employees!$A$4:$A$53,Employees!$B$4:$B$53,""))</x:f>
      </x:c>
      <x:c r="D1116" s="7"/>
      <x:c r="E1116" s="10" t="n">
        <x:v>8</x:v>
      </x:c>
      <x:c r="F1116" s="10"/>
      <x:c r="G1116" s="10" t="str">
        <x:f>IF(F1116="","",MIN(F1116,E1116))</x:f>
      </x:c>
      <x:c r="H1116" s="10" t="str">
        <x:f>IF(F1116="","",MAX(0,F1116-E1116))</x:f>
      </x:c>
      <x:c r="I1116" s="24"/>
      <x:c r="J1116" s="7"/>
      <x:c r="K1116" s="8" t="str">
        <x:f>IF(A1116="","",DATE(YEAR(A1116),MONTH(A1116),1))</x:f>
      </x:c>
    </x:row>
    <x:row r="1117">
      <x:c r="A1117" s="9"/>
      <x:c r="B1117" s="7"/>
      <x:c r="C1117" s="7" t="str">
        <x:f>IF(B1117="","",XLOOKUP(B1117,Employees!$A$4:$A$53,Employees!$B$4:$B$53,""))</x:f>
      </x:c>
      <x:c r="D1117" s="7"/>
      <x:c r="E1117" s="10" t="n">
        <x:v>8</x:v>
      </x:c>
      <x:c r="F1117" s="10"/>
      <x:c r="G1117" s="10" t="str">
        <x:f>IF(F1117="","",MIN(F1117,E1117))</x:f>
      </x:c>
      <x:c r="H1117" s="10" t="str">
        <x:f>IF(F1117="","",MAX(0,F1117-E1117))</x:f>
      </x:c>
      <x:c r="I1117" s="24"/>
      <x:c r="J1117" s="7"/>
      <x:c r="K1117" s="8" t="str">
        <x:f>IF(A1117="","",DATE(YEAR(A1117),MONTH(A1117),1))</x:f>
      </x:c>
    </x:row>
    <x:row r="1118">
      <x:c r="A1118" s="9"/>
      <x:c r="B1118" s="7"/>
      <x:c r="C1118" s="7" t="str">
        <x:f>IF(B1118="","",XLOOKUP(B1118,Employees!$A$4:$A$53,Employees!$B$4:$B$53,""))</x:f>
      </x:c>
      <x:c r="D1118" s="7"/>
      <x:c r="E1118" s="10" t="n">
        <x:v>8</x:v>
      </x:c>
      <x:c r="F1118" s="10"/>
      <x:c r="G1118" s="10" t="str">
        <x:f>IF(F1118="","",MIN(F1118,E1118))</x:f>
      </x:c>
      <x:c r="H1118" s="10" t="str">
        <x:f>IF(F1118="","",MAX(0,F1118-E1118))</x:f>
      </x:c>
      <x:c r="I1118" s="24"/>
      <x:c r="J1118" s="7"/>
      <x:c r="K1118" s="8" t="str">
        <x:f>IF(A1118="","",DATE(YEAR(A1118),MONTH(A1118),1))</x:f>
      </x:c>
    </x:row>
    <x:row r="1119">
      <x:c r="A1119" s="9"/>
      <x:c r="B1119" s="7"/>
      <x:c r="C1119" s="7" t="str">
        <x:f>IF(B1119="","",XLOOKUP(B1119,Employees!$A$4:$A$53,Employees!$B$4:$B$53,""))</x:f>
      </x:c>
      <x:c r="D1119" s="7"/>
      <x:c r="E1119" s="10" t="n">
        <x:v>8</x:v>
      </x:c>
      <x:c r="F1119" s="10"/>
      <x:c r="G1119" s="10" t="str">
        <x:f>IF(F1119="","",MIN(F1119,E1119))</x:f>
      </x:c>
      <x:c r="H1119" s="10" t="str">
        <x:f>IF(F1119="","",MAX(0,F1119-E1119))</x:f>
      </x:c>
      <x:c r="I1119" s="24"/>
      <x:c r="J1119" s="7"/>
      <x:c r="K1119" s="8" t="str">
        <x:f>IF(A1119="","",DATE(YEAR(A1119),MONTH(A1119),1))</x:f>
      </x:c>
    </x:row>
    <x:row r="1120">
      <x:c r="A1120" s="9"/>
      <x:c r="B1120" s="7"/>
      <x:c r="C1120" s="7" t="str">
        <x:f>IF(B1120="","",XLOOKUP(B1120,Employees!$A$4:$A$53,Employees!$B$4:$B$53,""))</x:f>
      </x:c>
      <x:c r="D1120" s="7"/>
      <x:c r="E1120" s="10" t="n">
        <x:v>8</x:v>
      </x:c>
      <x:c r="F1120" s="10"/>
      <x:c r="G1120" s="10" t="str">
        <x:f>IF(F1120="","",MIN(F1120,E1120))</x:f>
      </x:c>
      <x:c r="H1120" s="10" t="str">
        <x:f>IF(F1120="","",MAX(0,F1120-E1120))</x:f>
      </x:c>
      <x:c r="I1120" s="24"/>
      <x:c r="J1120" s="7"/>
      <x:c r="K1120" s="8" t="str">
        <x:f>IF(A1120="","",DATE(YEAR(A1120),MONTH(A1120),1))</x:f>
      </x:c>
    </x:row>
    <x:row r="1121">
      <x:c r="A1121" s="9"/>
      <x:c r="B1121" s="7"/>
      <x:c r="C1121" s="7" t="str">
        <x:f>IF(B1121="","",XLOOKUP(B1121,Employees!$A$4:$A$53,Employees!$B$4:$B$53,""))</x:f>
      </x:c>
      <x:c r="D1121" s="7"/>
      <x:c r="E1121" s="10" t="n">
        <x:v>8</x:v>
      </x:c>
      <x:c r="F1121" s="10"/>
      <x:c r="G1121" s="10" t="str">
        <x:f>IF(F1121="","",MIN(F1121,E1121))</x:f>
      </x:c>
      <x:c r="H1121" s="10" t="str">
        <x:f>IF(F1121="","",MAX(0,F1121-E1121))</x:f>
      </x:c>
      <x:c r="I1121" s="24"/>
      <x:c r="J1121" s="7"/>
      <x:c r="K1121" s="8" t="str">
        <x:f>IF(A1121="","",DATE(YEAR(A1121),MONTH(A1121),1))</x:f>
      </x:c>
    </x:row>
    <x:row r="1122">
      <x:c r="A1122" s="9"/>
      <x:c r="B1122" s="7"/>
      <x:c r="C1122" s="7" t="str">
        <x:f>IF(B1122="","",XLOOKUP(B1122,Employees!$A$4:$A$53,Employees!$B$4:$B$53,""))</x:f>
      </x:c>
      <x:c r="D1122" s="7"/>
      <x:c r="E1122" s="10" t="n">
        <x:v>8</x:v>
      </x:c>
      <x:c r="F1122" s="10"/>
      <x:c r="G1122" s="10" t="str">
        <x:f>IF(F1122="","",MIN(F1122,E1122))</x:f>
      </x:c>
      <x:c r="H1122" s="10" t="str">
        <x:f>IF(F1122="","",MAX(0,F1122-E1122))</x:f>
      </x:c>
      <x:c r="I1122" s="24"/>
      <x:c r="J1122" s="7"/>
      <x:c r="K1122" s="8" t="str">
        <x:f>IF(A1122="","",DATE(YEAR(A1122),MONTH(A1122),1))</x:f>
      </x:c>
    </x:row>
    <x:row r="1123">
      <x:c r="A1123" s="9"/>
      <x:c r="B1123" s="7"/>
      <x:c r="C1123" s="7" t="str">
        <x:f>IF(B1123="","",XLOOKUP(B1123,Employees!$A$4:$A$53,Employees!$B$4:$B$53,""))</x:f>
      </x:c>
      <x:c r="D1123" s="7"/>
      <x:c r="E1123" s="10" t="n">
        <x:v>8</x:v>
      </x:c>
      <x:c r="F1123" s="10"/>
      <x:c r="G1123" s="10" t="str">
        <x:f>IF(F1123="","",MIN(F1123,E1123))</x:f>
      </x:c>
      <x:c r="H1123" s="10" t="str">
        <x:f>IF(F1123="","",MAX(0,F1123-E1123))</x:f>
      </x:c>
      <x:c r="I1123" s="24"/>
      <x:c r="J1123" s="7"/>
      <x:c r="K1123" s="8" t="str">
        <x:f>IF(A1123="","",DATE(YEAR(A1123),MONTH(A1123),1))</x:f>
      </x:c>
    </x:row>
    <x:row r="1124">
      <x:c r="A1124" s="9"/>
      <x:c r="B1124" s="7"/>
      <x:c r="C1124" s="7" t="str">
        <x:f>IF(B1124="","",XLOOKUP(B1124,Employees!$A$4:$A$53,Employees!$B$4:$B$53,""))</x:f>
      </x:c>
      <x:c r="D1124" s="7"/>
      <x:c r="E1124" s="10" t="n">
        <x:v>8</x:v>
      </x:c>
      <x:c r="F1124" s="10"/>
      <x:c r="G1124" s="10" t="str">
        <x:f>IF(F1124="","",MIN(F1124,E1124))</x:f>
      </x:c>
      <x:c r="H1124" s="10" t="str">
        <x:f>IF(F1124="","",MAX(0,F1124-E1124))</x:f>
      </x:c>
      <x:c r="I1124" s="24"/>
      <x:c r="J1124" s="7"/>
      <x:c r="K1124" s="8" t="str">
        <x:f>IF(A1124="","",DATE(YEAR(A1124),MONTH(A1124),1))</x:f>
      </x:c>
    </x:row>
    <x:row r="1125">
      <x:c r="A1125" s="9"/>
      <x:c r="B1125" s="7"/>
      <x:c r="C1125" s="7" t="str">
        <x:f>IF(B1125="","",XLOOKUP(B1125,Employees!$A$4:$A$53,Employees!$B$4:$B$53,""))</x:f>
      </x:c>
      <x:c r="D1125" s="7"/>
      <x:c r="E1125" s="10" t="n">
        <x:v>8</x:v>
      </x:c>
      <x:c r="F1125" s="10"/>
      <x:c r="G1125" s="10" t="str">
        <x:f>IF(F1125="","",MIN(F1125,E1125))</x:f>
      </x:c>
      <x:c r="H1125" s="10" t="str">
        <x:f>IF(F1125="","",MAX(0,F1125-E1125))</x:f>
      </x:c>
      <x:c r="I1125" s="24"/>
      <x:c r="J1125" s="7"/>
      <x:c r="K1125" s="8" t="str">
        <x:f>IF(A1125="","",DATE(YEAR(A1125),MONTH(A1125),1))</x:f>
      </x:c>
    </x:row>
    <x:row r="1126">
      <x:c r="A1126" s="9"/>
      <x:c r="B1126" s="7"/>
      <x:c r="C1126" s="7" t="str">
        <x:f>IF(B1126="","",XLOOKUP(B1126,Employees!$A$4:$A$53,Employees!$B$4:$B$53,""))</x:f>
      </x:c>
      <x:c r="D1126" s="7"/>
      <x:c r="E1126" s="10" t="n">
        <x:v>8</x:v>
      </x:c>
      <x:c r="F1126" s="10"/>
      <x:c r="G1126" s="10" t="str">
        <x:f>IF(F1126="","",MIN(F1126,E1126))</x:f>
      </x:c>
      <x:c r="H1126" s="10" t="str">
        <x:f>IF(F1126="","",MAX(0,F1126-E1126))</x:f>
      </x:c>
      <x:c r="I1126" s="24"/>
      <x:c r="J1126" s="7"/>
      <x:c r="K1126" s="8" t="str">
        <x:f>IF(A1126="","",DATE(YEAR(A1126),MONTH(A1126),1))</x:f>
      </x:c>
    </x:row>
    <x:row r="1127">
      <x:c r="A1127" s="9"/>
      <x:c r="B1127" s="7"/>
      <x:c r="C1127" s="7" t="str">
        <x:f>IF(B1127="","",XLOOKUP(B1127,Employees!$A$4:$A$53,Employees!$B$4:$B$53,""))</x:f>
      </x:c>
      <x:c r="D1127" s="7"/>
      <x:c r="E1127" s="10" t="n">
        <x:v>8</x:v>
      </x:c>
      <x:c r="F1127" s="10"/>
      <x:c r="G1127" s="10" t="str">
        <x:f>IF(F1127="","",MIN(F1127,E1127))</x:f>
      </x:c>
      <x:c r="H1127" s="10" t="str">
        <x:f>IF(F1127="","",MAX(0,F1127-E1127))</x:f>
      </x:c>
      <x:c r="I1127" s="24"/>
      <x:c r="J1127" s="7"/>
      <x:c r="K1127" s="8" t="str">
        <x:f>IF(A1127="","",DATE(YEAR(A1127),MONTH(A1127),1))</x:f>
      </x:c>
    </x:row>
    <x:row r="1128">
      <x:c r="A1128" s="9"/>
      <x:c r="B1128" s="7"/>
      <x:c r="C1128" s="7" t="str">
        <x:f>IF(B1128="","",XLOOKUP(B1128,Employees!$A$4:$A$53,Employees!$B$4:$B$53,""))</x:f>
      </x:c>
      <x:c r="D1128" s="7"/>
      <x:c r="E1128" s="10" t="n">
        <x:v>8</x:v>
      </x:c>
      <x:c r="F1128" s="10"/>
      <x:c r="G1128" s="10" t="str">
        <x:f>IF(F1128="","",MIN(F1128,E1128))</x:f>
      </x:c>
      <x:c r="H1128" s="10" t="str">
        <x:f>IF(F1128="","",MAX(0,F1128-E1128))</x:f>
      </x:c>
      <x:c r="I1128" s="24"/>
      <x:c r="J1128" s="7"/>
      <x:c r="K1128" s="8" t="str">
        <x:f>IF(A1128="","",DATE(YEAR(A1128),MONTH(A1128),1))</x:f>
      </x:c>
    </x:row>
    <x:row r="1129">
      <x:c r="A1129" s="9"/>
      <x:c r="B1129" s="7"/>
      <x:c r="C1129" s="7" t="str">
        <x:f>IF(B1129="","",XLOOKUP(B1129,Employees!$A$4:$A$53,Employees!$B$4:$B$53,""))</x:f>
      </x:c>
      <x:c r="D1129" s="7"/>
      <x:c r="E1129" s="10" t="n">
        <x:v>8</x:v>
      </x:c>
      <x:c r="F1129" s="10"/>
      <x:c r="G1129" s="10" t="str">
        <x:f>IF(F1129="","",MIN(F1129,E1129))</x:f>
      </x:c>
      <x:c r="H1129" s="10" t="str">
        <x:f>IF(F1129="","",MAX(0,F1129-E1129))</x:f>
      </x:c>
      <x:c r="I1129" s="24"/>
      <x:c r="J1129" s="7"/>
      <x:c r="K1129" s="8" t="str">
        <x:f>IF(A1129="","",DATE(YEAR(A1129),MONTH(A1129),1))</x:f>
      </x:c>
    </x:row>
    <x:row r="1130">
      <x:c r="A1130" s="9"/>
      <x:c r="B1130" s="7"/>
      <x:c r="C1130" s="7" t="str">
        <x:f>IF(B1130="","",XLOOKUP(B1130,Employees!$A$4:$A$53,Employees!$B$4:$B$53,""))</x:f>
      </x:c>
      <x:c r="D1130" s="7"/>
      <x:c r="E1130" s="10" t="n">
        <x:v>8</x:v>
      </x:c>
      <x:c r="F1130" s="10"/>
      <x:c r="G1130" s="10" t="str">
        <x:f>IF(F1130="","",MIN(F1130,E1130))</x:f>
      </x:c>
      <x:c r="H1130" s="10" t="str">
        <x:f>IF(F1130="","",MAX(0,F1130-E1130))</x:f>
      </x:c>
      <x:c r="I1130" s="24"/>
      <x:c r="J1130" s="7"/>
      <x:c r="K1130" s="8" t="str">
        <x:f>IF(A1130="","",DATE(YEAR(A1130),MONTH(A1130),1))</x:f>
      </x:c>
    </x:row>
    <x:row r="1131">
      <x:c r="A1131" s="9"/>
      <x:c r="B1131" s="7"/>
      <x:c r="C1131" s="7" t="str">
        <x:f>IF(B1131="","",XLOOKUP(B1131,Employees!$A$4:$A$53,Employees!$B$4:$B$53,""))</x:f>
      </x:c>
      <x:c r="D1131" s="7"/>
      <x:c r="E1131" s="10" t="n">
        <x:v>8</x:v>
      </x:c>
      <x:c r="F1131" s="10"/>
      <x:c r="G1131" s="10" t="str">
        <x:f>IF(F1131="","",MIN(F1131,E1131))</x:f>
      </x:c>
      <x:c r="H1131" s="10" t="str">
        <x:f>IF(F1131="","",MAX(0,F1131-E1131))</x:f>
      </x:c>
      <x:c r="I1131" s="24"/>
      <x:c r="J1131" s="7"/>
      <x:c r="K1131" s="8" t="str">
        <x:f>IF(A1131="","",DATE(YEAR(A1131),MONTH(A1131),1))</x:f>
      </x:c>
    </x:row>
    <x:row r="1132">
      <x:c r="A1132" s="9"/>
      <x:c r="B1132" s="7"/>
      <x:c r="C1132" s="7" t="str">
        <x:f>IF(B1132="","",XLOOKUP(B1132,Employees!$A$4:$A$53,Employees!$B$4:$B$53,""))</x:f>
      </x:c>
      <x:c r="D1132" s="7"/>
      <x:c r="E1132" s="10" t="n">
        <x:v>8</x:v>
      </x:c>
      <x:c r="F1132" s="10"/>
      <x:c r="G1132" s="10" t="str">
        <x:f>IF(F1132="","",MIN(F1132,E1132))</x:f>
      </x:c>
      <x:c r="H1132" s="10" t="str">
        <x:f>IF(F1132="","",MAX(0,F1132-E1132))</x:f>
      </x:c>
      <x:c r="I1132" s="24"/>
      <x:c r="J1132" s="7"/>
      <x:c r="K1132" s="8" t="str">
        <x:f>IF(A1132="","",DATE(YEAR(A1132),MONTH(A1132),1))</x:f>
      </x:c>
    </x:row>
    <x:row r="1133">
      <x:c r="A1133" s="9"/>
      <x:c r="B1133" s="7"/>
      <x:c r="C1133" s="7" t="str">
        <x:f>IF(B1133="","",XLOOKUP(B1133,Employees!$A$4:$A$53,Employees!$B$4:$B$53,""))</x:f>
      </x:c>
      <x:c r="D1133" s="7"/>
      <x:c r="E1133" s="10" t="n">
        <x:v>8</x:v>
      </x:c>
      <x:c r="F1133" s="10"/>
      <x:c r="G1133" s="10" t="str">
        <x:f>IF(F1133="","",MIN(F1133,E1133))</x:f>
      </x:c>
      <x:c r="H1133" s="10" t="str">
        <x:f>IF(F1133="","",MAX(0,F1133-E1133))</x:f>
      </x:c>
      <x:c r="I1133" s="24"/>
      <x:c r="J1133" s="7"/>
      <x:c r="K1133" s="8" t="str">
        <x:f>IF(A1133="","",DATE(YEAR(A1133),MONTH(A1133),1))</x:f>
      </x:c>
    </x:row>
    <x:row r="1134">
      <x:c r="A1134" s="9"/>
      <x:c r="B1134" s="7"/>
      <x:c r="C1134" s="7" t="str">
        <x:f>IF(B1134="","",XLOOKUP(B1134,Employees!$A$4:$A$53,Employees!$B$4:$B$53,""))</x:f>
      </x:c>
      <x:c r="D1134" s="7"/>
      <x:c r="E1134" s="10" t="n">
        <x:v>8</x:v>
      </x:c>
      <x:c r="F1134" s="10"/>
      <x:c r="G1134" s="10" t="str">
        <x:f>IF(F1134="","",MIN(F1134,E1134))</x:f>
      </x:c>
      <x:c r="H1134" s="10" t="str">
        <x:f>IF(F1134="","",MAX(0,F1134-E1134))</x:f>
      </x:c>
      <x:c r="I1134" s="24"/>
      <x:c r="J1134" s="7"/>
      <x:c r="K1134" s="8" t="str">
        <x:f>IF(A1134="","",DATE(YEAR(A1134),MONTH(A1134),1))</x:f>
      </x:c>
    </x:row>
    <x:row r="1135">
      <x:c r="A1135" s="9"/>
      <x:c r="B1135" s="7"/>
      <x:c r="C1135" s="7" t="str">
        <x:f>IF(B1135="","",XLOOKUP(B1135,Employees!$A$4:$A$53,Employees!$B$4:$B$53,""))</x:f>
      </x:c>
      <x:c r="D1135" s="7"/>
      <x:c r="E1135" s="10" t="n">
        <x:v>8</x:v>
      </x:c>
      <x:c r="F1135" s="10"/>
      <x:c r="G1135" s="10" t="str">
        <x:f>IF(F1135="","",MIN(F1135,E1135))</x:f>
      </x:c>
      <x:c r="H1135" s="10" t="str">
        <x:f>IF(F1135="","",MAX(0,F1135-E1135))</x:f>
      </x:c>
      <x:c r="I1135" s="24"/>
      <x:c r="J1135" s="7"/>
      <x:c r="K1135" s="8" t="str">
        <x:f>IF(A1135="","",DATE(YEAR(A1135),MONTH(A1135),1))</x:f>
      </x:c>
    </x:row>
    <x:row r="1136">
      <x:c r="A1136" s="9"/>
      <x:c r="B1136" s="7"/>
      <x:c r="C1136" s="7" t="str">
        <x:f>IF(B1136="","",XLOOKUP(B1136,Employees!$A$4:$A$53,Employees!$B$4:$B$53,""))</x:f>
      </x:c>
      <x:c r="D1136" s="7"/>
      <x:c r="E1136" s="10" t="n">
        <x:v>8</x:v>
      </x:c>
      <x:c r="F1136" s="10"/>
      <x:c r="G1136" s="10" t="str">
        <x:f>IF(F1136="","",MIN(F1136,E1136))</x:f>
      </x:c>
      <x:c r="H1136" s="10" t="str">
        <x:f>IF(F1136="","",MAX(0,F1136-E1136))</x:f>
      </x:c>
      <x:c r="I1136" s="24"/>
      <x:c r="J1136" s="7"/>
      <x:c r="K1136" s="8" t="str">
        <x:f>IF(A1136="","",DATE(YEAR(A1136),MONTH(A1136),1))</x:f>
      </x:c>
    </x:row>
    <x:row r="1137">
      <x:c r="A1137" s="9"/>
      <x:c r="B1137" s="7"/>
      <x:c r="C1137" s="7" t="str">
        <x:f>IF(B1137="","",XLOOKUP(B1137,Employees!$A$4:$A$53,Employees!$B$4:$B$53,""))</x:f>
      </x:c>
      <x:c r="D1137" s="7"/>
      <x:c r="E1137" s="10" t="n">
        <x:v>8</x:v>
      </x:c>
      <x:c r="F1137" s="10"/>
      <x:c r="G1137" s="10" t="str">
        <x:f>IF(F1137="","",MIN(F1137,E1137))</x:f>
      </x:c>
      <x:c r="H1137" s="10" t="str">
        <x:f>IF(F1137="","",MAX(0,F1137-E1137))</x:f>
      </x:c>
      <x:c r="I1137" s="24"/>
      <x:c r="J1137" s="7"/>
      <x:c r="K1137" s="8" t="str">
        <x:f>IF(A1137="","",DATE(YEAR(A1137),MONTH(A1137),1))</x:f>
      </x:c>
    </x:row>
    <x:row r="1138">
      <x:c r="A1138" s="9"/>
      <x:c r="B1138" s="7"/>
      <x:c r="C1138" s="7" t="str">
        <x:f>IF(B1138="","",XLOOKUP(B1138,Employees!$A$4:$A$53,Employees!$B$4:$B$53,""))</x:f>
      </x:c>
      <x:c r="D1138" s="7"/>
      <x:c r="E1138" s="10" t="n">
        <x:v>8</x:v>
      </x:c>
      <x:c r="F1138" s="10"/>
      <x:c r="G1138" s="10" t="str">
        <x:f>IF(F1138="","",MIN(F1138,E1138))</x:f>
      </x:c>
      <x:c r="H1138" s="10" t="str">
        <x:f>IF(F1138="","",MAX(0,F1138-E1138))</x:f>
      </x:c>
      <x:c r="I1138" s="24"/>
      <x:c r="J1138" s="7"/>
      <x:c r="K1138" s="8" t="str">
        <x:f>IF(A1138="","",DATE(YEAR(A1138),MONTH(A1138),1))</x:f>
      </x:c>
    </x:row>
    <x:row r="1139">
      <x:c r="A1139" s="9"/>
      <x:c r="B1139" s="7"/>
      <x:c r="C1139" s="7" t="str">
        <x:f>IF(B1139="","",XLOOKUP(B1139,Employees!$A$4:$A$53,Employees!$B$4:$B$53,""))</x:f>
      </x:c>
      <x:c r="D1139" s="7"/>
      <x:c r="E1139" s="10" t="n">
        <x:v>8</x:v>
      </x:c>
      <x:c r="F1139" s="10"/>
      <x:c r="G1139" s="10" t="str">
        <x:f>IF(F1139="","",MIN(F1139,E1139))</x:f>
      </x:c>
      <x:c r="H1139" s="10" t="str">
        <x:f>IF(F1139="","",MAX(0,F1139-E1139))</x:f>
      </x:c>
      <x:c r="I1139" s="24"/>
      <x:c r="J1139" s="7"/>
      <x:c r="K1139" s="8" t="str">
        <x:f>IF(A1139="","",DATE(YEAR(A1139),MONTH(A1139),1))</x:f>
      </x:c>
    </x:row>
    <x:row r="1140">
      <x:c r="A1140" s="9"/>
      <x:c r="B1140" s="7"/>
      <x:c r="C1140" s="7" t="str">
        <x:f>IF(B1140="","",XLOOKUP(B1140,Employees!$A$4:$A$53,Employees!$B$4:$B$53,""))</x:f>
      </x:c>
      <x:c r="D1140" s="7"/>
      <x:c r="E1140" s="10" t="n">
        <x:v>8</x:v>
      </x:c>
      <x:c r="F1140" s="10"/>
      <x:c r="G1140" s="10" t="str">
        <x:f>IF(F1140="","",MIN(F1140,E1140))</x:f>
      </x:c>
      <x:c r="H1140" s="10" t="str">
        <x:f>IF(F1140="","",MAX(0,F1140-E1140))</x:f>
      </x:c>
      <x:c r="I1140" s="24"/>
      <x:c r="J1140" s="7"/>
      <x:c r="K1140" s="8" t="str">
        <x:f>IF(A1140="","",DATE(YEAR(A1140),MONTH(A1140),1))</x:f>
      </x:c>
    </x:row>
    <x:row r="1141">
      <x:c r="A1141" s="9"/>
      <x:c r="B1141" s="7"/>
      <x:c r="C1141" s="7" t="str">
        <x:f>IF(B1141="","",XLOOKUP(B1141,Employees!$A$4:$A$53,Employees!$B$4:$B$53,""))</x:f>
      </x:c>
      <x:c r="D1141" s="7"/>
      <x:c r="E1141" s="10" t="n">
        <x:v>8</x:v>
      </x:c>
      <x:c r="F1141" s="10"/>
      <x:c r="G1141" s="10" t="str">
        <x:f>IF(F1141="","",MIN(F1141,E1141))</x:f>
      </x:c>
      <x:c r="H1141" s="10" t="str">
        <x:f>IF(F1141="","",MAX(0,F1141-E1141))</x:f>
      </x:c>
      <x:c r="I1141" s="24"/>
      <x:c r="J1141" s="7"/>
      <x:c r="K1141" s="8" t="str">
        <x:f>IF(A1141="","",DATE(YEAR(A1141),MONTH(A1141),1))</x:f>
      </x:c>
    </x:row>
    <x:row r="1142">
      <x:c r="A1142" s="9"/>
      <x:c r="B1142" s="7"/>
      <x:c r="C1142" s="7" t="str">
        <x:f>IF(B1142="","",XLOOKUP(B1142,Employees!$A$4:$A$53,Employees!$B$4:$B$53,""))</x:f>
      </x:c>
      <x:c r="D1142" s="7"/>
      <x:c r="E1142" s="10" t="n">
        <x:v>8</x:v>
      </x:c>
      <x:c r="F1142" s="10"/>
      <x:c r="G1142" s="10" t="str">
        <x:f>IF(F1142="","",MIN(F1142,E1142))</x:f>
      </x:c>
      <x:c r="H1142" s="10" t="str">
        <x:f>IF(F1142="","",MAX(0,F1142-E1142))</x:f>
      </x:c>
      <x:c r="I1142" s="24"/>
      <x:c r="J1142" s="7"/>
      <x:c r="K1142" s="8" t="str">
        <x:f>IF(A1142="","",DATE(YEAR(A1142),MONTH(A1142),1))</x:f>
      </x:c>
    </x:row>
    <x:row r="1143">
      <x:c r="A1143" s="9"/>
      <x:c r="B1143" s="7"/>
      <x:c r="C1143" s="7" t="str">
        <x:f>IF(B1143="","",XLOOKUP(B1143,Employees!$A$4:$A$53,Employees!$B$4:$B$53,""))</x:f>
      </x:c>
      <x:c r="D1143" s="7"/>
      <x:c r="E1143" s="10" t="n">
        <x:v>8</x:v>
      </x:c>
      <x:c r="F1143" s="10"/>
      <x:c r="G1143" s="10" t="str">
        <x:f>IF(F1143="","",MIN(F1143,E1143))</x:f>
      </x:c>
      <x:c r="H1143" s="10" t="str">
        <x:f>IF(F1143="","",MAX(0,F1143-E1143))</x:f>
      </x:c>
      <x:c r="I1143" s="24"/>
      <x:c r="J1143" s="7"/>
      <x:c r="K1143" s="8" t="str">
        <x:f>IF(A1143="","",DATE(YEAR(A1143),MONTH(A1143),1))</x:f>
      </x:c>
    </x:row>
    <x:row r="1144">
      <x:c r="A1144" s="9"/>
      <x:c r="B1144" s="7"/>
      <x:c r="C1144" s="7" t="str">
        <x:f>IF(B1144="","",XLOOKUP(B1144,Employees!$A$4:$A$53,Employees!$B$4:$B$53,""))</x:f>
      </x:c>
      <x:c r="D1144" s="7"/>
      <x:c r="E1144" s="10" t="n">
        <x:v>8</x:v>
      </x:c>
      <x:c r="F1144" s="10"/>
      <x:c r="G1144" s="10" t="str">
        <x:f>IF(F1144="","",MIN(F1144,E1144))</x:f>
      </x:c>
      <x:c r="H1144" s="10" t="str">
        <x:f>IF(F1144="","",MAX(0,F1144-E1144))</x:f>
      </x:c>
      <x:c r="I1144" s="24"/>
      <x:c r="J1144" s="7"/>
      <x:c r="K1144" s="8" t="str">
        <x:f>IF(A1144="","",DATE(YEAR(A1144),MONTH(A1144),1))</x:f>
      </x:c>
    </x:row>
    <x:row r="1145">
      <x:c r="A1145" s="9"/>
      <x:c r="B1145" s="7"/>
      <x:c r="C1145" s="7" t="str">
        <x:f>IF(B1145="","",XLOOKUP(B1145,Employees!$A$4:$A$53,Employees!$B$4:$B$53,""))</x:f>
      </x:c>
      <x:c r="D1145" s="7"/>
      <x:c r="E1145" s="10" t="n">
        <x:v>8</x:v>
      </x:c>
      <x:c r="F1145" s="10"/>
      <x:c r="G1145" s="10" t="str">
        <x:f>IF(F1145="","",MIN(F1145,E1145))</x:f>
      </x:c>
      <x:c r="H1145" s="10" t="str">
        <x:f>IF(F1145="","",MAX(0,F1145-E1145))</x:f>
      </x:c>
      <x:c r="I1145" s="24"/>
      <x:c r="J1145" s="7"/>
      <x:c r="K1145" s="8" t="str">
        <x:f>IF(A1145="","",DATE(YEAR(A1145),MONTH(A1145),1))</x:f>
      </x:c>
    </x:row>
    <x:row r="1146">
      <x:c r="A1146" s="9"/>
      <x:c r="B1146" s="7"/>
      <x:c r="C1146" s="7" t="str">
        <x:f>IF(B1146="","",XLOOKUP(B1146,Employees!$A$4:$A$53,Employees!$B$4:$B$53,""))</x:f>
      </x:c>
      <x:c r="D1146" s="7"/>
      <x:c r="E1146" s="10" t="n">
        <x:v>8</x:v>
      </x:c>
      <x:c r="F1146" s="10"/>
      <x:c r="G1146" s="10" t="str">
        <x:f>IF(F1146="","",MIN(F1146,E1146))</x:f>
      </x:c>
      <x:c r="H1146" s="10" t="str">
        <x:f>IF(F1146="","",MAX(0,F1146-E1146))</x:f>
      </x:c>
      <x:c r="I1146" s="24"/>
      <x:c r="J1146" s="7"/>
      <x:c r="K1146" s="8" t="str">
        <x:f>IF(A1146="","",DATE(YEAR(A1146),MONTH(A1146),1))</x:f>
      </x:c>
    </x:row>
    <x:row r="1147">
      <x:c r="A1147" s="9"/>
      <x:c r="B1147" s="7"/>
      <x:c r="C1147" s="7" t="str">
        <x:f>IF(B1147="","",XLOOKUP(B1147,Employees!$A$4:$A$53,Employees!$B$4:$B$53,""))</x:f>
      </x:c>
      <x:c r="D1147" s="7"/>
      <x:c r="E1147" s="10" t="n">
        <x:v>8</x:v>
      </x:c>
      <x:c r="F1147" s="10"/>
      <x:c r="G1147" s="10" t="str">
        <x:f>IF(F1147="","",MIN(F1147,E1147))</x:f>
      </x:c>
      <x:c r="H1147" s="10" t="str">
        <x:f>IF(F1147="","",MAX(0,F1147-E1147))</x:f>
      </x:c>
      <x:c r="I1147" s="24"/>
      <x:c r="J1147" s="7"/>
      <x:c r="K1147" s="8" t="str">
        <x:f>IF(A1147="","",DATE(YEAR(A1147),MONTH(A1147),1))</x:f>
      </x:c>
    </x:row>
    <x:row r="1148">
      <x:c r="A1148" s="9"/>
      <x:c r="B1148" s="7"/>
      <x:c r="C1148" s="7" t="str">
        <x:f>IF(B1148="","",XLOOKUP(B1148,Employees!$A$4:$A$53,Employees!$B$4:$B$53,""))</x:f>
      </x:c>
      <x:c r="D1148" s="7"/>
      <x:c r="E1148" s="10" t="n">
        <x:v>8</x:v>
      </x:c>
      <x:c r="F1148" s="10"/>
      <x:c r="G1148" s="10" t="str">
        <x:f>IF(F1148="","",MIN(F1148,E1148))</x:f>
      </x:c>
      <x:c r="H1148" s="10" t="str">
        <x:f>IF(F1148="","",MAX(0,F1148-E1148))</x:f>
      </x:c>
      <x:c r="I1148" s="24"/>
      <x:c r="J1148" s="7"/>
      <x:c r="K1148" s="8" t="str">
        <x:f>IF(A1148="","",DATE(YEAR(A1148),MONTH(A1148),1))</x:f>
      </x:c>
    </x:row>
    <x:row r="1149">
      <x:c r="A1149" s="9"/>
      <x:c r="B1149" s="7"/>
      <x:c r="C1149" s="7" t="str">
        <x:f>IF(B1149="","",XLOOKUP(B1149,Employees!$A$4:$A$53,Employees!$B$4:$B$53,""))</x:f>
      </x:c>
      <x:c r="D1149" s="7"/>
      <x:c r="E1149" s="10" t="n">
        <x:v>8</x:v>
      </x:c>
      <x:c r="F1149" s="10"/>
      <x:c r="G1149" s="10" t="str">
        <x:f>IF(F1149="","",MIN(F1149,E1149))</x:f>
      </x:c>
      <x:c r="H1149" s="10" t="str">
        <x:f>IF(F1149="","",MAX(0,F1149-E1149))</x:f>
      </x:c>
      <x:c r="I1149" s="24"/>
      <x:c r="J1149" s="7"/>
      <x:c r="K1149" s="8" t="str">
        <x:f>IF(A1149="","",DATE(YEAR(A1149),MONTH(A1149),1))</x:f>
      </x:c>
    </x:row>
    <x:row r="1150">
      <x:c r="A1150" s="9"/>
      <x:c r="B1150" s="7"/>
      <x:c r="C1150" s="7" t="str">
        <x:f>IF(B1150="","",XLOOKUP(B1150,Employees!$A$4:$A$53,Employees!$B$4:$B$53,""))</x:f>
      </x:c>
      <x:c r="D1150" s="7"/>
      <x:c r="E1150" s="10" t="n">
        <x:v>8</x:v>
      </x:c>
      <x:c r="F1150" s="10"/>
      <x:c r="G1150" s="10" t="str">
        <x:f>IF(F1150="","",MIN(F1150,E1150))</x:f>
      </x:c>
      <x:c r="H1150" s="10" t="str">
        <x:f>IF(F1150="","",MAX(0,F1150-E1150))</x:f>
      </x:c>
      <x:c r="I1150" s="24"/>
      <x:c r="J1150" s="7"/>
      <x:c r="K1150" s="8" t="str">
        <x:f>IF(A1150="","",DATE(YEAR(A1150),MONTH(A1150),1))</x:f>
      </x:c>
    </x:row>
    <x:row r="1151">
      <x:c r="A1151" s="9"/>
      <x:c r="B1151" s="7"/>
      <x:c r="C1151" s="7" t="str">
        <x:f>IF(B1151="","",XLOOKUP(B1151,Employees!$A$4:$A$53,Employees!$B$4:$B$53,""))</x:f>
      </x:c>
      <x:c r="D1151" s="7"/>
      <x:c r="E1151" s="10" t="n">
        <x:v>8</x:v>
      </x:c>
      <x:c r="F1151" s="10"/>
      <x:c r="G1151" s="10" t="str">
        <x:f>IF(F1151="","",MIN(F1151,E1151))</x:f>
      </x:c>
      <x:c r="H1151" s="10" t="str">
        <x:f>IF(F1151="","",MAX(0,F1151-E1151))</x:f>
      </x:c>
      <x:c r="I1151" s="24"/>
      <x:c r="J1151" s="7"/>
      <x:c r="K1151" s="8" t="str">
        <x:f>IF(A1151="","",DATE(YEAR(A1151),MONTH(A1151),1))</x:f>
      </x:c>
    </x:row>
    <x:row r="1152">
      <x:c r="A1152" s="9"/>
      <x:c r="B1152" s="7"/>
      <x:c r="C1152" s="7" t="str">
        <x:f>IF(B1152="","",XLOOKUP(B1152,Employees!$A$4:$A$53,Employees!$B$4:$B$53,""))</x:f>
      </x:c>
      <x:c r="D1152" s="7"/>
      <x:c r="E1152" s="10" t="n">
        <x:v>8</x:v>
      </x:c>
      <x:c r="F1152" s="10"/>
      <x:c r="G1152" s="10" t="str">
        <x:f>IF(F1152="","",MIN(F1152,E1152))</x:f>
      </x:c>
      <x:c r="H1152" s="10" t="str">
        <x:f>IF(F1152="","",MAX(0,F1152-E1152))</x:f>
      </x:c>
      <x:c r="I1152" s="24"/>
      <x:c r="J1152" s="7"/>
      <x:c r="K1152" s="8" t="str">
        <x:f>IF(A1152="","",DATE(YEAR(A1152),MONTH(A1152),1))</x:f>
      </x:c>
    </x:row>
    <x:row r="1153">
      <x:c r="A1153" s="9"/>
      <x:c r="B1153" s="7"/>
      <x:c r="C1153" s="7" t="str">
        <x:f>IF(B1153="","",XLOOKUP(B1153,Employees!$A$4:$A$53,Employees!$B$4:$B$53,""))</x:f>
      </x:c>
      <x:c r="D1153" s="7"/>
      <x:c r="E1153" s="10" t="n">
        <x:v>8</x:v>
      </x:c>
      <x:c r="F1153" s="10"/>
      <x:c r="G1153" s="10" t="str">
        <x:f>IF(F1153="","",MIN(F1153,E1153))</x:f>
      </x:c>
      <x:c r="H1153" s="10" t="str">
        <x:f>IF(F1153="","",MAX(0,F1153-E1153))</x:f>
      </x:c>
      <x:c r="I1153" s="24"/>
      <x:c r="J1153" s="7"/>
      <x:c r="K1153" s="8" t="str">
        <x:f>IF(A1153="","",DATE(YEAR(A1153),MONTH(A1153),1))</x:f>
      </x:c>
    </x:row>
    <x:row r="1154">
      <x:c r="A1154" s="9"/>
      <x:c r="B1154" s="7"/>
      <x:c r="C1154" s="7" t="str">
        <x:f>IF(B1154="","",XLOOKUP(B1154,Employees!$A$4:$A$53,Employees!$B$4:$B$53,""))</x:f>
      </x:c>
      <x:c r="D1154" s="7"/>
      <x:c r="E1154" s="10" t="n">
        <x:v>8</x:v>
      </x:c>
      <x:c r="F1154" s="10"/>
      <x:c r="G1154" s="10" t="str">
        <x:f>IF(F1154="","",MIN(F1154,E1154))</x:f>
      </x:c>
      <x:c r="H1154" s="10" t="str">
        <x:f>IF(F1154="","",MAX(0,F1154-E1154))</x:f>
      </x:c>
      <x:c r="I1154" s="24"/>
      <x:c r="J1154" s="7"/>
      <x:c r="K1154" s="8" t="str">
        <x:f>IF(A1154="","",DATE(YEAR(A1154),MONTH(A1154),1))</x:f>
      </x:c>
    </x:row>
    <x:row r="1155">
      <x:c r="A1155" s="9"/>
      <x:c r="B1155" s="7"/>
      <x:c r="C1155" s="7" t="str">
        <x:f>IF(B1155="","",XLOOKUP(B1155,Employees!$A$4:$A$53,Employees!$B$4:$B$53,""))</x:f>
      </x:c>
      <x:c r="D1155" s="7"/>
      <x:c r="E1155" s="10" t="n">
        <x:v>8</x:v>
      </x:c>
      <x:c r="F1155" s="10"/>
      <x:c r="G1155" s="10" t="str">
        <x:f>IF(F1155="","",MIN(F1155,E1155))</x:f>
      </x:c>
      <x:c r="H1155" s="10" t="str">
        <x:f>IF(F1155="","",MAX(0,F1155-E1155))</x:f>
      </x:c>
      <x:c r="I1155" s="24"/>
      <x:c r="J1155" s="7"/>
      <x:c r="K1155" s="8" t="str">
        <x:f>IF(A1155="","",DATE(YEAR(A1155),MONTH(A1155),1))</x:f>
      </x:c>
    </x:row>
    <x:row r="1156">
      <x:c r="A1156" s="9"/>
      <x:c r="B1156" s="7"/>
      <x:c r="C1156" s="7" t="str">
        <x:f>IF(B1156="","",XLOOKUP(B1156,Employees!$A$4:$A$53,Employees!$B$4:$B$53,""))</x:f>
      </x:c>
      <x:c r="D1156" s="7"/>
      <x:c r="E1156" s="10" t="n">
        <x:v>8</x:v>
      </x:c>
      <x:c r="F1156" s="10"/>
      <x:c r="G1156" s="10" t="str">
        <x:f>IF(F1156="","",MIN(F1156,E1156))</x:f>
      </x:c>
      <x:c r="H1156" s="10" t="str">
        <x:f>IF(F1156="","",MAX(0,F1156-E1156))</x:f>
      </x:c>
      <x:c r="I1156" s="24"/>
      <x:c r="J1156" s="7"/>
      <x:c r="K1156" s="8" t="str">
        <x:f>IF(A1156="","",DATE(YEAR(A1156),MONTH(A1156),1))</x:f>
      </x:c>
    </x:row>
    <x:row r="1157">
      <x:c r="A1157" s="9"/>
      <x:c r="B1157" s="7"/>
      <x:c r="C1157" s="7" t="str">
        <x:f>IF(B1157="","",XLOOKUP(B1157,Employees!$A$4:$A$53,Employees!$B$4:$B$53,""))</x:f>
      </x:c>
      <x:c r="D1157" s="7"/>
      <x:c r="E1157" s="10" t="n">
        <x:v>8</x:v>
      </x:c>
      <x:c r="F1157" s="10"/>
      <x:c r="G1157" s="10" t="str">
        <x:f>IF(F1157="","",MIN(F1157,E1157))</x:f>
      </x:c>
      <x:c r="H1157" s="10" t="str">
        <x:f>IF(F1157="","",MAX(0,F1157-E1157))</x:f>
      </x:c>
      <x:c r="I1157" s="24"/>
      <x:c r="J1157" s="7"/>
      <x:c r="K1157" s="8" t="str">
        <x:f>IF(A1157="","",DATE(YEAR(A1157),MONTH(A1157),1))</x:f>
      </x:c>
    </x:row>
    <x:row r="1158">
      <x:c r="A1158" s="9"/>
      <x:c r="B1158" s="7"/>
      <x:c r="C1158" s="7" t="str">
        <x:f>IF(B1158="","",XLOOKUP(B1158,Employees!$A$4:$A$53,Employees!$B$4:$B$53,""))</x:f>
      </x:c>
      <x:c r="D1158" s="7"/>
      <x:c r="E1158" s="10" t="n">
        <x:v>8</x:v>
      </x:c>
      <x:c r="F1158" s="10"/>
      <x:c r="G1158" s="10" t="str">
        <x:f>IF(F1158="","",MIN(F1158,E1158))</x:f>
      </x:c>
      <x:c r="H1158" s="10" t="str">
        <x:f>IF(F1158="","",MAX(0,F1158-E1158))</x:f>
      </x:c>
      <x:c r="I1158" s="24"/>
      <x:c r="J1158" s="7"/>
      <x:c r="K1158" s="8" t="str">
        <x:f>IF(A1158="","",DATE(YEAR(A1158),MONTH(A1158),1))</x:f>
      </x:c>
    </x:row>
    <x:row r="1159">
      <x:c r="A1159" s="9"/>
      <x:c r="B1159" s="7"/>
      <x:c r="C1159" s="7" t="str">
        <x:f>IF(B1159="","",XLOOKUP(B1159,Employees!$A$4:$A$53,Employees!$B$4:$B$53,""))</x:f>
      </x:c>
      <x:c r="D1159" s="7"/>
      <x:c r="E1159" s="10" t="n">
        <x:v>8</x:v>
      </x:c>
      <x:c r="F1159" s="10"/>
      <x:c r="G1159" s="10" t="str">
        <x:f>IF(F1159="","",MIN(F1159,E1159))</x:f>
      </x:c>
      <x:c r="H1159" s="10" t="str">
        <x:f>IF(F1159="","",MAX(0,F1159-E1159))</x:f>
      </x:c>
      <x:c r="I1159" s="24"/>
      <x:c r="J1159" s="7"/>
      <x:c r="K1159" s="8" t="str">
        <x:f>IF(A1159="","",DATE(YEAR(A1159),MONTH(A1159),1))</x:f>
      </x:c>
    </x:row>
    <x:row r="1160">
      <x:c r="A1160" s="9"/>
      <x:c r="B1160" s="7"/>
      <x:c r="C1160" s="7" t="str">
        <x:f>IF(B1160="","",XLOOKUP(B1160,Employees!$A$4:$A$53,Employees!$B$4:$B$53,""))</x:f>
      </x:c>
      <x:c r="D1160" s="7"/>
      <x:c r="E1160" s="10" t="n">
        <x:v>8</x:v>
      </x:c>
      <x:c r="F1160" s="10"/>
      <x:c r="G1160" s="10" t="str">
        <x:f>IF(F1160="","",MIN(F1160,E1160))</x:f>
      </x:c>
      <x:c r="H1160" s="10" t="str">
        <x:f>IF(F1160="","",MAX(0,F1160-E1160))</x:f>
      </x:c>
      <x:c r="I1160" s="24"/>
      <x:c r="J1160" s="7"/>
      <x:c r="K1160" s="8" t="str">
        <x:f>IF(A1160="","",DATE(YEAR(A1160),MONTH(A1160),1))</x:f>
      </x:c>
    </x:row>
    <x:row r="1161">
      <x:c r="A1161" s="9"/>
      <x:c r="B1161" s="7"/>
      <x:c r="C1161" s="7" t="str">
        <x:f>IF(B1161="","",XLOOKUP(B1161,Employees!$A$4:$A$53,Employees!$B$4:$B$53,""))</x:f>
      </x:c>
      <x:c r="D1161" s="7"/>
      <x:c r="E1161" s="10" t="n">
        <x:v>8</x:v>
      </x:c>
      <x:c r="F1161" s="10"/>
      <x:c r="G1161" s="10" t="str">
        <x:f>IF(F1161="","",MIN(F1161,E1161))</x:f>
      </x:c>
      <x:c r="H1161" s="10" t="str">
        <x:f>IF(F1161="","",MAX(0,F1161-E1161))</x:f>
      </x:c>
      <x:c r="I1161" s="24"/>
      <x:c r="J1161" s="7"/>
      <x:c r="K1161" s="8" t="str">
        <x:f>IF(A1161="","",DATE(YEAR(A1161),MONTH(A1161),1))</x:f>
      </x:c>
    </x:row>
    <x:row r="1162">
      <x:c r="A1162" s="9"/>
      <x:c r="B1162" s="7"/>
      <x:c r="C1162" s="7" t="str">
        <x:f>IF(B1162="","",XLOOKUP(B1162,Employees!$A$4:$A$53,Employees!$B$4:$B$53,""))</x:f>
      </x:c>
      <x:c r="D1162" s="7"/>
      <x:c r="E1162" s="10" t="n">
        <x:v>8</x:v>
      </x:c>
      <x:c r="F1162" s="10"/>
      <x:c r="G1162" s="10" t="str">
        <x:f>IF(F1162="","",MIN(F1162,E1162))</x:f>
      </x:c>
      <x:c r="H1162" s="10" t="str">
        <x:f>IF(F1162="","",MAX(0,F1162-E1162))</x:f>
      </x:c>
      <x:c r="I1162" s="24"/>
      <x:c r="J1162" s="7"/>
      <x:c r="K1162" s="8" t="str">
        <x:f>IF(A1162="","",DATE(YEAR(A1162),MONTH(A1162),1))</x:f>
      </x:c>
    </x:row>
    <x:row r="1163">
      <x:c r="A1163" s="9"/>
      <x:c r="B1163" s="7"/>
      <x:c r="C1163" s="7" t="str">
        <x:f>IF(B1163="","",XLOOKUP(B1163,Employees!$A$4:$A$53,Employees!$B$4:$B$53,""))</x:f>
      </x:c>
      <x:c r="D1163" s="7"/>
      <x:c r="E1163" s="10" t="n">
        <x:v>8</x:v>
      </x:c>
      <x:c r="F1163" s="10"/>
      <x:c r="G1163" s="10" t="str">
        <x:f>IF(F1163="","",MIN(F1163,E1163))</x:f>
      </x:c>
      <x:c r="H1163" s="10" t="str">
        <x:f>IF(F1163="","",MAX(0,F1163-E1163))</x:f>
      </x:c>
      <x:c r="I1163" s="24"/>
      <x:c r="J1163" s="7"/>
      <x:c r="K1163" s="8" t="str">
        <x:f>IF(A1163="","",DATE(YEAR(A1163),MONTH(A1163),1))</x:f>
      </x:c>
    </x:row>
    <x:row r="1164">
      <x:c r="A1164" s="9"/>
      <x:c r="B1164" s="7"/>
      <x:c r="C1164" s="7" t="str">
        <x:f>IF(B1164="","",XLOOKUP(B1164,Employees!$A$4:$A$53,Employees!$B$4:$B$53,""))</x:f>
      </x:c>
      <x:c r="D1164" s="7"/>
      <x:c r="E1164" s="10" t="n">
        <x:v>8</x:v>
      </x:c>
      <x:c r="F1164" s="10"/>
      <x:c r="G1164" s="10" t="str">
        <x:f>IF(F1164="","",MIN(F1164,E1164))</x:f>
      </x:c>
      <x:c r="H1164" s="10" t="str">
        <x:f>IF(F1164="","",MAX(0,F1164-E1164))</x:f>
      </x:c>
      <x:c r="I1164" s="24"/>
      <x:c r="J1164" s="7"/>
      <x:c r="K1164" s="8" t="str">
        <x:f>IF(A1164="","",DATE(YEAR(A1164),MONTH(A1164),1))</x:f>
      </x:c>
    </x:row>
    <x:row r="1165">
      <x:c r="A1165" s="9"/>
      <x:c r="B1165" s="7"/>
      <x:c r="C1165" s="7" t="str">
        <x:f>IF(B1165="","",XLOOKUP(B1165,Employees!$A$4:$A$53,Employees!$B$4:$B$53,""))</x:f>
      </x:c>
      <x:c r="D1165" s="7"/>
      <x:c r="E1165" s="10" t="n">
        <x:v>8</x:v>
      </x:c>
      <x:c r="F1165" s="10"/>
      <x:c r="G1165" s="10" t="str">
        <x:f>IF(F1165="","",MIN(F1165,E1165))</x:f>
      </x:c>
      <x:c r="H1165" s="10" t="str">
        <x:f>IF(F1165="","",MAX(0,F1165-E1165))</x:f>
      </x:c>
      <x:c r="I1165" s="24"/>
      <x:c r="J1165" s="7"/>
      <x:c r="K1165" s="8" t="str">
        <x:f>IF(A1165="","",DATE(YEAR(A1165),MONTH(A1165),1))</x:f>
      </x:c>
    </x:row>
    <x:row r="1166">
      <x:c r="A1166" s="9"/>
      <x:c r="B1166" s="7"/>
      <x:c r="C1166" s="7" t="str">
        <x:f>IF(B1166="","",XLOOKUP(B1166,Employees!$A$4:$A$53,Employees!$B$4:$B$53,""))</x:f>
      </x:c>
      <x:c r="D1166" s="7"/>
      <x:c r="E1166" s="10" t="n">
        <x:v>8</x:v>
      </x:c>
      <x:c r="F1166" s="10"/>
      <x:c r="G1166" s="10" t="str">
        <x:f>IF(F1166="","",MIN(F1166,E1166))</x:f>
      </x:c>
      <x:c r="H1166" s="10" t="str">
        <x:f>IF(F1166="","",MAX(0,F1166-E1166))</x:f>
      </x:c>
      <x:c r="I1166" s="24"/>
      <x:c r="J1166" s="7"/>
      <x:c r="K1166" s="8" t="str">
        <x:f>IF(A1166="","",DATE(YEAR(A1166),MONTH(A1166),1))</x:f>
      </x:c>
    </x:row>
    <x:row r="1167">
      <x:c r="A1167" s="9"/>
      <x:c r="B1167" s="7"/>
      <x:c r="C1167" s="7" t="str">
        <x:f>IF(B1167="","",XLOOKUP(B1167,Employees!$A$4:$A$53,Employees!$B$4:$B$53,""))</x:f>
      </x:c>
      <x:c r="D1167" s="7"/>
      <x:c r="E1167" s="10" t="n">
        <x:v>8</x:v>
      </x:c>
      <x:c r="F1167" s="10"/>
      <x:c r="G1167" s="10" t="str">
        <x:f>IF(F1167="","",MIN(F1167,E1167))</x:f>
      </x:c>
      <x:c r="H1167" s="10" t="str">
        <x:f>IF(F1167="","",MAX(0,F1167-E1167))</x:f>
      </x:c>
      <x:c r="I1167" s="24"/>
      <x:c r="J1167" s="7"/>
      <x:c r="K1167" s="8" t="str">
        <x:f>IF(A1167="","",DATE(YEAR(A1167),MONTH(A1167),1))</x:f>
      </x:c>
    </x:row>
    <x:row r="1168">
      <x:c r="A1168" s="9"/>
      <x:c r="B1168" s="7"/>
      <x:c r="C1168" s="7" t="str">
        <x:f>IF(B1168="","",XLOOKUP(B1168,Employees!$A$4:$A$53,Employees!$B$4:$B$53,""))</x:f>
      </x:c>
      <x:c r="D1168" s="7"/>
      <x:c r="E1168" s="10" t="n">
        <x:v>8</x:v>
      </x:c>
      <x:c r="F1168" s="10"/>
      <x:c r="G1168" s="10" t="str">
        <x:f>IF(F1168="","",MIN(F1168,E1168))</x:f>
      </x:c>
      <x:c r="H1168" s="10" t="str">
        <x:f>IF(F1168="","",MAX(0,F1168-E1168))</x:f>
      </x:c>
      <x:c r="I1168" s="24"/>
      <x:c r="J1168" s="7"/>
      <x:c r="K1168" s="8" t="str">
        <x:f>IF(A1168="","",DATE(YEAR(A1168),MONTH(A1168),1))</x:f>
      </x:c>
    </x:row>
    <x:row r="1169">
      <x:c r="A1169" s="9"/>
      <x:c r="B1169" s="7"/>
      <x:c r="C1169" s="7" t="str">
        <x:f>IF(B1169="","",XLOOKUP(B1169,Employees!$A$4:$A$53,Employees!$B$4:$B$53,""))</x:f>
      </x:c>
      <x:c r="D1169" s="7"/>
      <x:c r="E1169" s="10" t="n">
        <x:v>8</x:v>
      </x:c>
      <x:c r="F1169" s="10"/>
      <x:c r="G1169" s="10" t="str">
        <x:f>IF(F1169="","",MIN(F1169,E1169))</x:f>
      </x:c>
      <x:c r="H1169" s="10" t="str">
        <x:f>IF(F1169="","",MAX(0,F1169-E1169))</x:f>
      </x:c>
      <x:c r="I1169" s="24"/>
      <x:c r="J1169" s="7"/>
      <x:c r="K1169" s="8" t="str">
        <x:f>IF(A1169="","",DATE(YEAR(A1169),MONTH(A1169),1))</x:f>
      </x:c>
    </x:row>
    <x:row r="1170">
      <x:c r="A1170" s="9"/>
      <x:c r="B1170" s="7"/>
      <x:c r="C1170" s="7" t="str">
        <x:f>IF(B1170="","",XLOOKUP(B1170,Employees!$A$4:$A$53,Employees!$B$4:$B$53,""))</x:f>
      </x:c>
      <x:c r="D1170" s="7"/>
      <x:c r="E1170" s="10" t="n">
        <x:v>8</x:v>
      </x:c>
      <x:c r="F1170" s="10"/>
      <x:c r="G1170" s="10" t="str">
        <x:f>IF(F1170="","",MIN(F1170,E1170))</x:f>
      </x:c>
      <x:c r="H1170" s="10" t="str">
        <x:f>IF(F1170="","",MAX(0,F1170-E1170))</x:f>
      </x:c>
      <x:c r="I1170" s="24"/>
      <x:c r="J1170" s="7"/>
      <x:c r="K1170" s="8" t="str">
        <x:f>IF(A1170="","",DATE(YEAR(A1170),MONTH(A1170),1))</x:f>
      </x:c>
    </x:row>
    <x:row r="1171">
      <x:c r="A1171" s="9"/>
      <x:c r="B1171" s="7"/>
      <x:c r="C1171" s="7" t="str">
        <x:f>IF(B1171="","",XLOOKUP(B1171,Employees!$A$4:$A$53,Employees!$B$4:$B$53,""))</x:f>
      </x:c>
      <x:c r="D1171" s="7"/>
      <x:c r="E1171" s="10" t="n">
        <x:v>8</x:v>
      </x:c>
      <x:c r="F1171" s="10"/>
      <x:c r="G1171" s="10" t="str">
        <x:f>IF(F1171="","",MIN(F1171,E1171))</x:f>
      </x:c>
      <x:c r="H1171" s="10" t="str">
        <x:f>IF(F1171="","",MAX(0,F1171-E1171))</x:f>
      </x:c>
      <x:c r="I1171" s="24"/>
      <x:c r="J1171" s="7"/>
      <x:c r="K1171" s="8" t="str">
        <x:f>IF(A1171="","",DATE(YEAR(A1171),MONTH(A1171),1))</x:f>
      </x:c>
    </x:row>
    <x:row r="1172">
      <x:c r="A1172" s="9"/>
      <x:c r="B1172" s="7"/>
      <x:c r="C1172" s="7" t="str">
        <x:f>IF(B1172="","",XLOOKUP(B1172,Employees!$A$4:$A$53,Employees!$B$4:$B$53,""))</x:f>
      </x:c>
      <x:c r="D1172" s="7"/>
      <x:c r="E1172" s="10" t="n">
        <x:v>8</x:v>
      </x:c>
      <x:c r="F1172" s="10"/>
      <x:c r="G1172" s="10" t="str">
        <x:f>IF(F1172="","",MIN(F1172,E1172))</x:f>
      </x:c>
      <x:c r="H1172" s="10" t="str">
        <x:f>IF(F1172="","",MAX(0,F1172-E1172))</x:f>
      </x:c>
      <x:c r="I1172" s="24"/>
      <x:c r="J1172" s="7"/>
      <x:c r="K1172" s="8" t="str">
        <x:f>IF(A1172="","",DATE(YEAR(A1172),MONTH(A1172),1))</x:f>
      </x:c>
    </x:row>
    <x:row r="1173">
      <x:c r="A1173" s="9"/>
      <x:c r="B1173" s="7"/>
      <x:c r="C1173" s="7" t="str">
        <x:f>IF(B1173="","",XLOOKUP(B1173,Employees!$A$4:$A$53,Employees!$B$4:$B$53,""))</x:f>
      </x:c>
      <x:c r="D1173" s="7"/>
      <x:c r="E1173" s="10" t="n">
        <x:v>8</x:v>
      </x:c>
      <x:c r="F1173" s="10"/>
      <x:c r="G1173" s="10" t="str">
        <x:f>IF(F1173="","",MIN(F1173,E1173))</x:f>
      </x:c>
      <x:c r="H1173" s="10" t="str">
        <x:f>IF(F1173="","",MAX(0,F1173-E1173))</x:f>
      </x:c>
      <x:c r="I1173" s="24"/>
      <x:c r="J1173" s="7"/>
      <x:c r="K1173" s="8" t="str">
        <x:f>IF(A1173="","",DATE(YEAR(A1173),MONTH(A1173),1))</x:f>
      </x:c>
    </x:row>
    <x:row r="1174">
      <x:c r="A1174" s="9"/>
      <x:c r="B1174" s="7"/>
      <x:c r="C1174" s="7" t="str">
        <x:f>IF(B1174="","",XLOOKUP(B1174,Employees!$A$4:$A$53,Employees!$B$4:$B$53,""))</x:f>
      </x:c>
      <x:c r="D1174" s="7"/>
      <x:c r="E1174" s="10" t="n">
        <x:v>8</x:v>
      </x:c>
      <x:c r="F1174" s="10"/>
      <x:c r="G1174" s="10" t="str">
        <x:f>IF(F1174="","",MIN(F1174,E1174))</x:f>
      </x:c>
      <x:c r="H1174" s="10" t="str">
        <x:f>IF(F1174="","",MAX(0,F1174-E1174))</x:f>
      </x:c>
      <x:c r="I1174" s="24"/>
      <x:c r="J1174" s="7"/>
      <x:c r="K1174" s="8" t="str">
        <x:f>IF(A1174="","",DATE(YEAR(A1174),MONTH(A1174),1))</x:f>
      </x:c>
    </x:row>
    <x:row r="1175">
      <x:c r="A1175" s="9"/>
      <x:c r="B1175" s="7"/>
      <x:c r="C1175" s="7" t="str">
        <x:f>IF(B1175="","",XLOOKUP(B1175,Employees!$A$4:$A$53,Employees!$B$4:$B$53,""))</x:f>
      </x:c>
      <x:c r="D1175" s="7"/>
      <x:c r="E1175" s="10" t="n">
        <x:v>8</x:v>
      </x:c>
      <x:c r="F1175" s="10"/>
      <x:c r="G1175" s="10" t="str">
        <x:f>IF(F1175="","",MIN(F1175,E1175))</x:f>
      </x:c>
      <x:c r="H1175" s="10" t="str">
        <x:f>IF(F1175="","",MAX(0,F1175-E1175))</x:f>
      </x:c>
      <x:c r="I1175" s="24"/>
      <x:c r="J1175" s="7"/>
      <x:c r="K1175" s="8" t="str">
        <x:f>IF(A1175="","",DATE(YEAR(A1175),MONTH(A1175),1))</x:f>
      </x:c>
    </x:row>
    <x:row r="1176">
      <x:c r="A1176" s="9"/>
      <x:c r="B1176" s="7"/>
      <x:c r="C1176" s="7" t="str">
        <x:f>IF(B1176="","",XLOOKUP(B1176,Employees!$A$4:$A$53,Employees!$B$4:$B$53,""))</x:f>
      </x:c>
      <x:c r="D1176" s="7"/>
      <x:c r="E1176" s="10" t="n">
        <x:v>8</x:v>
      </x:c>
      <x:c r="F1176" s="10"/>
      <x:c r="G1176" s="10" t="str">
        <x:f>IF(F1176="","",MIN(F1176,E1176))</x:f>
      </x:c>
      <x:c r="H1176" s="10" t="str">
        <x:f>IF(F1176="","",MAX(0,F1176-E1176))</x:f>
      </x:c>
      <x:c r="I1176" s="24"/>
      <x:c r="J1176" s="7"/>
      <x:c r="K1176" s="8" t="str">
        <x:f>IF(A1176="","",DATE(YEAR(A1176),MONTH(A1176),1))</x:f>
      </x:c>
    </x:row>
    <x:row r="1177">
      <x:c r="A1177" s="9"/>
      <x:c r="B1177" s="7"/>
      <x:c r="C1177" s="7" t="str">
        <x:f>IF(B1177="","",XLOOKUP(B1177,Employees!$A$4:$A$53,Employees!$B$4:$B$53,""))</x:f>
      </x:c>
      <x:c r="D1177" s="7"/>
      <x:c r="E1177" s="10" t="n">
        <x:v>8</x:v>
      </x:c>
      <x:c r="F1177" s="10"/>
      <x:c r="G1177" s="10" t="str">
        <x:f>IF(F1177="","",MIN(F1177,E1177))</x:f>
      </x:c>
      <x:c r="H1177" s="10" t="str">
        <x:f>IF(F1177="","",MAX(0,F1177-E1177))</x:f>
      </x:c>
      <x:c r="I1177" s="24"/>
      <x:c r="J1177" s="7"/>
      <x:c r="K1177" s="8" t="str">
        <x:f>IF(A1177="","",DATE(YEAR(A1177),MONTH(A1177),1))</x:f>
      </x:c>
    </x:row>
    <x:row r="1178">
      <x:c r="A1178" s="9"/>
      <x:c r="B1178" s="7"/>
      <x:c r="C1178" s="7" t="str">
        <x:f>IF(B1178="","",XLOOKUP(B1178,Employees!$A$4:$A$53,Employees!$B$4:$B$53,""))</x:f>
      </x:c>
      <x:c r="D1178" s="7"/>
      <x:c r="E1178" s="10" t="n">
        <x:v>8</x:v>
      </x:c>
      <x:c r="F1178" s="10"/>
      <x:c r="G1178" s="10" t="str">
        <x:f>IF(F1178="","",MIN(F1178,E1178))</x:f>
      </x:c>
      <x:c r="H1178" s="10" t="str">
        <x:f>IF(F1178="","",MAX(0,F1178-E1178))</x:f>
      </x:c>
      <x:c r="I1178" s="24"/>
      <x:c r="J1178" s="7"/>
      <x:c r="K1178" s="8" t="str">
        <x:f>IF(A1178="","",DATE(YEAR(A1178),MONTH(A1178),1))</x:f>
      </x:c>
    </x:row>
    <x:row r="1179">
      <x:c r="A1179" s="9"/>
      <x:c r="B1179" s="7"/>
      <x:c r="C1179" s="7" t="str">
        <x:f>IF(B1179="","",XLOOKUP(B1179,Employees!$A$4:$A$53,Employees!$B$4:$B$53,""))</x:f>
      </x:c>
      <x:c r="D1179" s="7"/>
      <x:c r="E1179" s="10" t="n">
        <x:v>8</x:v>
      </x:c>
      <x:c r="F1179" s="10"/>
      <x:c r="G1179" s="10" t="str">
        <x:f>IF(F1179="","",MIN(F1179,E1179))</x:f>
      </x:c>
      <x:c r="H1179" s="10" t="str">
        <x:f>IF(F1179="","",MAX(0,F1179-E1179))</x:f>
      </x:c>
      <x:c r="I1179" s="24"/>
      <x:c r="J1179" s="7"/>
      <x:c r="K1179" s="8" t="str">
        <x:f>IF(A1179="","",DATE(YEAR(A1179),MONTH(A1179),1))</x:f>
      </x:c>
    </x:row>
    <x:row r="1180">
      <x:c r="A1180" s="9"/>
      <x:c r="B1180" s="7"/>
      <x:c r="C1180" s="7" t="str">
        <x:f>IF(B1180="","",XLOOKUP(B1180,Employees!$A$4:$A$53,Employees!$B$4:$B$53,""))</x:f>
      </x:c>
      <x:c r="D1180" s="7"/>
      <x:c r="E1180" s="10" t="n">
        <x:v>8</x:v>
      </x:c>
      <x:c r="F1180" s="10"/>
      <x:c r="G1180" s="10" t="str">
        <x:f>IF(F1180="","",MIN(F1180,E1180))</x:f>
      </x:c>
      <x:c r="H1180" s="10" t="str">
        <x:f>IF(F1180="","",MAX(0,F1180-E1180))</x:f>
      </x:c>
      <x:c r="I1180" s="24"/>
      <x:c r="J1180" s="7"/>
      <x:c r="K1180" s="8" t="str">
        <x:f>IF(A1180="","",DATE(YEAR(A1180),MONTH(A1180),1))</x:f>
      </x:c>
    </x:row>
    <x:row r="1181">
      <x:c r="A1181" s="9"/>
      <x:c r="B1181" s="7"/>
      <x:c r="C1181" s="7" t="str">
        <x:f>IF(B1181="","",XLOOKUP(B1181,Employees!$A$4:$A$53,Employees!$B$4:$B$53,""))</x:f>
      </x:c>
      <x:c r="D1181" s="7"/>
      <x:c r="E1181" s="10" t="n">
        <x:v>8</x:v>
      </x:c>
      <x:c r="F1181" s="10"/>
      <x:c r="G1181" s="10" t="str">
        <x:f>IF(F1181="","",MIN(F1181,E1181))</x:f>
      </x:c>
      <x:c r="H1181" s="10" t="str">
        <x:f>IF(F1181="","",MAX(0,F1181-E1181))</x:f>
      </x:c>
      <x:c r="I1181" s="24"/>
      <x:c r="J1181" s="7"/>
      <x:c r="K1181" s="8" t="str">
        <x:f>IF(A1181="","",DATE(YEAR(A1181),MONTH(A1181),1))</x:f>
      </x:c>
    </x:row>
    <x:row r="1182">
      <x:c r="A1182" s="9"/>
      <x:c r="B1182" s="7"/>
      <x:c r="C1182" s="7" t="str">
        <x:f>IF(B1182="","",XLOOKUP(B1182,Employees!$A$4:$A$53,Employees!$B$4:$B$53,""))</x:f>
      </x:c>
      <x:c r="D1182" s="7"/>
      <x:c r="E1182" s="10" t="n">
        <x:v>8</x:v>
      </x:c>
      <x:c r="F1182" s="10"/>
      <x:c r="G1182" s="10" t="str">
        <x:f>IF(F1182="","",MIN(F1182,E1182))</x:f>
      </x:c>
      <x:c r="H1182" s="10" t="str">
        <x:f>IF(F1182="","",MAX(0,F1182-E1182))</x:f>
      </x:c>
      <x:c r="I1182" s="24"/>
      <x:c r="J1182" s="7"/>
      <x:c r="K1182" s="8" t="str">
        <x:f>IF(A1182="","",DATE(YEAR(A1182),MONTH(A1182),1))</x:f>
      </x:c>
    </x:row>
    <x:row r="1183">
      <x:c r="A1183" s="9"/>
      <x:c r="B1183" s="7"/>
      <x:c r="C1183" s="7" t="str">
        <x:f>IF(B1183="","",XLOOKUP(B1183,Employees!$A$4:$A$53,Employees!$B$4:$B$53,""))</x:f>
      </x:c>
      <x:c r="D1183" s="7"/>
      <x:c r="E1183" s="10" t="n">
        <x:v>8</x:v>
      </x:c>
      <x:c r="F1183" s="10"/>
      <x:c r="G1183" s="10" t="str">
        <x:f>IF(F1183="","",MIN(F1183,E1183))</x:f>
      </x:c>
      <x:c r="H1183" s="10" t="str">
        <x:f>IF(F1183="","",MAX(0,F1183-E1183))</x:f>
      </x:c>
      <x:c r="I1183" s="24"/>
      <x:c r="J1183" s="7"/>
      <x:c r="K1183" s="8" t="str">
        <x:f>IF(A1183="","",DATE(YEAR(A1183),MONTH(A1183),1))</x:f>
      </x:c>
    </x:row>
    <x:row r="1184">
      <x:c r="A1184" s="9"/>
      <x:c r="B1184" s="7"/>
      <x:c r="C1184" s="7" t="str">
        <x:f>IF(B1184="","",XLOOKUP(B1184,Employees!$A$4:$A$53,Employees!$B$4:$B$53,""))</x:f>
      </x:c>
      <x:c r="D1184" s="7"/>
      <x:c r="E1184" s="10" t="n">
        <x:v>8</x:v>
      </x:c>
      <x:c r="F1184" s="10"/>
      <x:c r="G1184" s="10" t="str">
        <x:f>IF(F1184="","",MIN(F1184,E1184))</x:f>
      </x:c>
      <x:c r="H1184" s="10" t="str">
        <x:f>IF(F1184="","",MAX(0,F1184-E1184))</x:f>
      </x:c>
      <x:c r="I1184" s="24"/>
      <x:c r="J1184" s="7"/>
      <x:c r="K1184" s="8" t="str">
        <x:f>IF(A1184="","",DATE(YEAR(A1184),MONTH(A1184),1))</x:f>
      </x:c>
    </x:row>
    <x:row r="1185">
      <x:c r="A1185" s="9"/>
      <x:c r="B1185" s="7"/>
      <x:c r="C1185" s="7" t="str">
        <x:f>IF(B1185="","",XLOOKUP(B1185,Employees!$A$4:$A$53,Employees!$B$4:$B$53,""))</x:f>
      </x:c>
      <x:c r="D1185" s="7"/>
      <x:c r="E1185" s="10" t="n">
        <x:v>8</x:v>
      </x:c>
      <x:c r="F1185" s="10"/>
      <x:c r="G1185" s="10" t="str">
        <x:f>IF(F1185="","",MIN(F1185,E1185))</x:f>
      </x:c>
      <x:c r="H1185" s="10" t="str">
        <x:f>IF(F1185="","",MAX(0,F1185-E1185))</x:f>
      </x:c>
      <x:c r="I1185" s="24"/>
      <x:c r="J1185" s="7"/>
      <x:c r="K1185" s="8" t="str">
        <x:f>IF(A1185="","",DATE(YEAR(A1185),MONTH(A1185),1))</x:f>
      </x:c>
    </x:row>
    <x:row r="1186">
      <x:c r="A1186" s="9"/>
      <x:c r="B1186" s="7"/>
      <x:c r="C1186" s="7" t="str">
        <x:f>IF(B1186="","",XLOOKUP(B1186,Employees!$A$4:$A$53,Employees!$B$4:$B$53,""))</x:f>
      </x:c>
      <x:c r="D1186" s="7"/>
      <x:c r="E1186" s="10" t="n">
        <x:v>8</x:v>
      </x:c>
      <x:c r="F1186" s="10"/>
      <x:c r="G1186" s="10" t="str">
        <x:f>IF(F1186="","",MIN(F1186,E1186))</x:f>
      </x:c>
      <x:c r="H1186" s="10" t="str">
        <x:f>IF(F1186="","",MAX(0,F1186-E1186))</x:f>
      </x:c>
      <x:c r="I1186" s="24"/>
      <x:c r="J1186" s="7"/>
      <x:c r="K1186" s="8" t="str">
        <x:f>IF(A1186="","",DATE(YEAR(A1186),MONTH(A1186),1))</x:f>
      </x:c>
    </x:row>
    <x:row r="1187">
      <x:c r="A1187" s="9"/>
      <x:c r="B1187" s="7"/>
      <x:c r="C1187" s="7" t="str">
        <x:f>IF(B1187="","",XLOOKUP(B1187,Employees!$A$4:$A$53,Employees!$B$4:$B$53,""))</x:f>
      </x:c>
      <x:c r="D1187" s="7"/>
      <x:c r="E1187" s="10" t="n">
        <x:v>8</x:v>
      </x:c>
      <x:c r="F1187" s="10"/>
      <x:c r="G1187" s="10" t="str">
        <x:f>IF(F1187="","",MIN(F1187,E1187))</x:f>
      </x:c>
      <x:c r="H1187" s="10" t="str">
        <x:f>IF(F1187="","",MAX(0,F1187-E1187))</x:f>
      </x:c>
      <x:c r="I1187" s="24"/>
      <x:c r="J1187" s="7"/>
      <x:c r="K1187" s="8" t="str">
        <x:f>IF(A1187="","",DATE(YEAR(A1187),MONTH(A1187),1))</x:f>
      </x:c>
    </x:row>
    <x:row r="1188">
      <x:c r="A1188" s="9"/>
      <x:c r="B1188" s="7"/>
      <x:c r="C1188" s="7" t="str">
        <x:f>IF(B1188="","",XLOOKUP(B1188,Employees!$A$4:$A$53,Employees!$B$4:$B$53,""))</x:f>
      </x:c>
      <x:c r="D1188" s="7"/>
      <x:c r="E1188" s="10" t="n">
        <x:v>8</x:v>
      </x:c>
      <x:c r="F1188" s="10"/>
      <x:c r="G1188" s="10" t="str">
        <x:f>IF(F1188="","",MIN(F1188,E1188))</x:f>
      </x:c>
      <x:c r="H1188" s="10" t="str">
        <x:f>IF(F1188="","",MAX(0,F1188-E1188))</x:f>
      </x:c>
      <x:c r="I1188" s="24"/>
      <x:c r="J1188" s="7"/>
      <x:c r="K1188" s="8" t="str">
        <x:f>IF(A1188="","",DATE(YEAR(A1188),MONTH(A1188),1))</x:f>
      </x:c>
    </x:row>
    <x:row r="1189">
      <x:c r="A1189" s="9"/>
      <x:c r="B1189" s="7"/>
      <x:c r="C1189" s="7" t="str">
        <x:f>IF(B1189="","",XLOOKUP(B1189,Employees!$A$4:$A$53,Employees!$B$4:$B$53,""))</x:f>
      </x:c>
      <x:c r="D1189" s="7"/>
      <x:c r="E1189" s="10" t="n">
        <x:v>8</x:v>
      </x:c>
      <x:c r="F1189" s="10"/>
      <x:c r="G1189" s="10" t="str">
        <x:f>IF(F1189="","",MIN(F1189,E1189))</x:f>
      </x:c>
      <x:c r="H1189" s="10" t="str">
        <x:f>IF(F1189="","",MAX(0,F1189-E1189))</x:f>
      </x:c>
      <x:c r="I1189" s="24"/>
      <x:c r="J1189" s="7"/>
      <x:c r="K1189" s="8" t="str">
        <x:f>IF(A1189="","",DATE(YEAR(A1189),MONTH(A1189),1))</x:f>
      </x:c>
    </x:row>
    <x:row r="1190">
      <x:c r="A1190" s="9"/>
      <x:c r="B1190" s="7"/>
      <x:c r="C1190" s="7" t="str">
        <x:f>IF(B1190="","",XLOOKUP(B1190,Employees!$A$4:$A$53,Employees!$B$4:$B$53,""))</x:f>
      </x:c>
      <x:c r="D1190" s="7"/>
      <x:c r="E1190" s="10" t="n">
        <x:v>8</x:v>
      </x:c>
      <x:c r="F1190" s="10"/>
      <x:c r="G1190" s="10" t="str">
        <x:f>IF(F1190="","",MIN(F1190,E1190))</x:f>
      </x:c>
      <x:c r="H1190" s="10" t="str">
        <x:f>IF(F1190="","",MAX(0,F1190-E1190))</x:f>
      </x:c>
      <x:c r="I1190" s="24"/>
      <x:c r="J1190" s="7"/>
      <x:c r="K1190" s="8" t="str">
        <x:f>IF(A1190="","",DATE(YEAR(A1190),MONTH(A1190),1))</x:f>
      </x:c>
    </x:row>
    <x:row r="1191">
      <x:c r="A1191" s="9"/>
      <x:c r="B1191" s="7"/>
      <x:c r="C1191" s="7" t="str">
        <x:f>IF(B1191="","",XLOOKUP(B1191,Employees!$A$4:$A$53,Employees!$B$4:$B$53,""))</x:f>
      </x:c>
      <x:c r="D1191" s="7"/>
      <x:c r="E1191" s="10" t="n">
        <x:v>8</x:v>
      </x:c>
      <x:c r="F1191" s="10"/>
      <x:c r="G1191" s="10" t="str">
        <x:f>IF(F1191="","",MIN(F1191,E1191))</x:f>
      </x:c>
      <x:c r="H1191" s="10" t="str">
        <x:f>IF(F1191="","",MAX(0,F1191-E1191))</x:f>
      </x:c>
      <x:c r="I1191" s="24"/>
      <x:c r="J1191" s="7"/>
      <x:c r="K1191" s="8" t="str">
        <x:f>IF(A1191="","",DATE(YEAR(A1191),MONTH(A1191),1))</x:f>
      </x:c>
    </x:row>
    <x:row r="1192">
      <x:c r="A1192" s="9"/>
      <x:c r="B1192" s="7"/>
      <x:c r="C1192" s="7" t="str">
        <x:f>IF(B1192="","",XLOOKUP(B1192,Employees!$A$4:$A$53,Employees!$B$4:$B$53,""))</x:f>
      </x:c>
      <x:c r="D1192" s="7"/>
      <x:c r="E1192" s="10" t="n">
        <x:v>8</x:v>
      </x:c>
      <x:c r="F1192" s="10"/>
      <x:c r="G1192" s="10" t="str">
        <x:f>IF(F1192="","",MIN(F1192,E1192))</x:f>
      </x:c>
      <x:c r="H1192" s="10" t="str">
        <x:f>IF(F1192="","",MAX(0,F1192-E1192))</x:f>
      </x:c>
      <x:c r="I1192" s="24"/>
      <x:c r="J1192" s="7"/>
      <x:c r="K1192" s="8" t="str">
        <x:f>IF(A1192="","",DATE(YEAR(A1192),MONTH(A1192),1))</x:f>
      </x:c>
    </x:row>
    <x:row r="1193">
      <x:c r="A1193" s="9"/>
      <x:c r="B1193" s="7"/>
      <x:c r="C1193" s="7" t="str">
        <x:f>IF(B1193="","",XLOOKUP(B1193,Employees!$A$4:$A$53,Employees!$B$4:$B$53,""))</x:f>
      </x:c>
      <x:c r="D1193" s="7"/>
      <x:c r="E1193" s="10" t="n">
        <x:v>8</x:v>
      </x:c>
      <x:c r="F1193" s="10"/>
      <x:c r="G1193" s="10" t="str">
        <x:f>IF(F1193="","",MIN(F1193,E1193))</x:f>
      </x:c>
      <x:c r="H1193" s="10" t="str">
        <x:f>IF(F1193="","",MAX(0,F1193-E1193))</x:f>
      </x:c>
      <x:c r="I1193" s="24"/>
      <x:c r="J1193" s="7"/>
      <x:c r="K1193" s="8" t="str">
        <x:f>IF(A1193="","",DATE(YEAR(A1193),MONTH(A1193),1))</x:f>
      </x:c>
    </x:row>
    <x:row r="1194">
      <x:c r="A1194" s="9"/>
      <x:c r="B1194" s="7"/>
      <x:c r="C1194" s="7" t="str">
        <x:f>IF(B1194="","",XLOOKUP(B1194,Employees!$A$4:$A$53,Employees!$B$4:$B$53,""))</x:f>
      </x:c>
      <x:c r="D1194" s="7"/>
      <x:c r="E1194" s="10" t="n">
        <x:v>8</x:v>
      </x:c>
      <x:c r="F1194" s="10"/>
      <x:c r="G1194" s="10" t="str">
        <x:f>IF(F1194="","",MIN(F1194,E1194))</x:f>
      </x:c>
      <x:c r="H1194" s="10" t="str">
        <x:f>IF(F1194="","",MAX(0,F1194-E1194))</x:f>
      </x:c>
      <x:c r="I1194" s="24"/>
      <x:c r="J1194" s="7"/>
      <x:c r="K1194" s="8" t="str">
        <x:f>IF(A1194="","",DATE(YEAR(A1194),MONTH(A1194),1))</x:f>
      </x:c>
    </x:row>
    <x:row r="1195">
      <x:c r="A1195" s="9"/>
      <x:c r="B1195" s="7"/>
      <x:c r="C1195" s="7" t="str">
        <x:f>IF(B1195="","",XLOOKUP(B1195,Employees!$A$4:$A$53,Employees!$B$4:$B$53,""))</x:f>
      </x:c>
      <x:c r="D1195" s="7"/>
      <x:c r="E1195" s="10" t="n">
        <x:v>8</x:v>
      </x:c>
      <x:c r="F1195" s="10"/>
      <x:c r="G1195" s="10" t="str">
        <x:f>IF(F1195="","",MIN(F1195,E1195))</x:f>
      </x:c>
      <x:c r="H1195" s="10" t="str">
        <x:f>IF(F1195="","",MAX(0,F1195-E1195))</x:f>
      </x:c>
      <x:c r="I1195" s="24"/>
      <x:c r="J1195" s="7"/>
      <x:c r="K1195" s="8" t="str">
        <x:f>IF(A1195="","",DATE(YEAR(A1195),MONTH(A1195),1))</x:f>
      </x:c>
    </x:row>
    <x:row r="1196">
      <x:c r="A1196" s="9"/>
      <x:c r="B1196" s="7"/>
      <x:c r="C1196" s="7" t="str">
        <x:f>IF(B1196="","",XLOOKUP(B1196,Employees!$A$4:$A$53,Employees!$B$4:$B$53,""))</x:f>
      </x:c>
      <x:c r="D1196" s="7"/>
      <x:c r="E1196" s="10" t="n">
        <x:v>8</x:v>
      </x:c>
      <x:c r="F1196" s="10"/>
      <x:c r="G1196" s="10" t="str">
        <x:f>IF(F1196="","",MIN(F1196,E1196))</x:f>
      </x:c>
      <x:c r="H1196" s="10" t="str">
        <x:f>IF(F1196="","",MAX(0,F1196-E1196))</x:f>
      </x:c>
      <x:c r="I1196" s="24"/>
      <x:c r="J1196" s="7"/>
      <x:c r="K1196" s="8" t="str">
        <x:f>IF(A1196="","",DATE(YEAR(A1196),MONTH(A1196),1))</x:f>
      </x:c>
    </x:row>
    <x:row r="1197">
      <x:c r="A1197" s="9"/>
      <x:c r="B1197" s="7"/>
      <x:c r="C1197" s="7" t="str">
        <x:f>IF(B1197="","",XLOOKUP(B1197,Employees!$A$4:$A$53,Employees!$B$4:$B$53,""))</x:f>
      </x:c>
      <x:c r="D1197" s="7"/>
      <x:c r="E1197" s="10" t="n">
        <x:v>8</x:v>
      </x:c>
      <x:c r="F1197" s="10"/>
      <x:c r="G1197" s="10" t="str">
        <x:f>IF(F1197="","",MIN(F1197,E1197))</x:f>
      </x:c>
      <x:c r="H1197" s="10" t="str">
        <x:f>IF(F1197="","",MAX(0,F1197-E1197))</x:f>
      </x:c>
      <x:c r="I1197" s="24"/>
      <x:c r="J1197" s="7"/>
      <x:c r="K1197" s="8" t="str">
        <x:f>IF(A1197="","",DATE(YEAR(A1197),MONTH(A1197),1))</x:f>
      </x:c>
    </x:row>
    <x:row r="1198">
      <x:c r="A1198" s="9"/>
      <x:c r="B1198" s="7"/>
      <x:c r="C1198" s="7" t="str">
        <x:f>IF(B1198="","",XLOOKUP(B1198,Employees!$A$4:$A$53,Employees!$B$4:$B$53,""))</x:f>
      </x:c>
      <x:c r="D1198" s="7"/>
      <x:c r="E1198" s="10" t="n">
        <x:v>8</x:v>
      </x:c>
      <x:c r="F1198" s="10"/>
      <x:c r="G1198" s="10" t="str">
        <x:f>IF(F1198="","",MIN(F1198,E1198))</x:f>
      </x:c>
      <x:c r="H1198" s="10" t="str">
        <x:f>IF(F1198="","",MAX(0,F1198-E1198))</x:f>
      </x:c>
      <x:c r="I1198" s="24"/>
      <x:c r="J1198" s="7"/>
      <x:c r="K1198" s="8" t="str">
        <x:f>IF(A1198="","",DATE(YEAR(A1198),MONTH(A1198),1))</x:f>
      </x:c>
    </x:row>
    <x:row r="1199">
      <x:c r="A1199" s="9"/>
      <x:c r="B1199" s="7"/>
      <x:c r="C1199" s="7" t="str">
        <x:f>IF(B1199="","",XLOOKUP(B1199,Employees!$A$4:$A$53,Employees!$B$4:$B$53,""))</x:f>
      </x:c>
      <x:c r="D1199" s="7"/>
      <x:c r="E1199" s="10" t="n">
        <x:v>8</x:v>
      </x:c>
      <x:c r="F1199" s="10"/>
      <x:c r="G1199" s="10" t="str">
        <x:f>IF(F1199="","",MIN(F1199,E1199))</x:f>
      </x:c>
      <x:c r="H1199" s="10" t="str">
        <x:f>IF(F1199="","",MAX(0,F1199-E1199))</x:f>
      </x:c>
      <x:c r="I1199" s="24"/>
      <x:c r="J1199" s="7"/>
      <x:c r="K1199" s="8" t="str">
        <x:f>IF(A1199="","",DATE(YEAR(A1199),MONTH(A1199),1))</x:f>
      </x:c>
    </x:row>
    <x:row r="1200">
      <x:c r="A1200" s="9"/>
      <x:c r="B1200" s="7"/>
      <x:c r="C1200" s="7" t="str">
        <x:f>IF(B1200="","",XLOOKUP(B1200,Employees!$A$4:$A$53,Employees!$B$4:$B$53,""))</x:f>
      </x:c>
      <x:c r="D1200" s="7"/>
      <x:c r="E1200" s="10" t="n">
        <x:v>8</x:v>
      </x:c>
      <x:c r="F1200" s="10"/>
      <x:c r="G1200" s="10" t="str">
        <x:f>IF(F1200="","",MIN(F1200,E1200))</x:f>
      </x:c>
      <x:c r="H1200" s="10" t="str">
        <x:f>IF(F1200="","",MAX(0,F1200-E1200))</x:f>
      </x:c>
      <x:c r="I1200" s="24"/>
      <x:c r="J1200" s="7"/>
      <x:c r="K1200" s="8" t="str">
        <x:f>IF(A1200="","",DATE(YEAR(A1200),MONTH(A1200),1))</x:f>
      </x:c>
    </x:row>
    <x:row r="1201">
      <x:c r="A1201" s="9"/>
      <x:c r="B1201" s="7"/>
      <x:c r="C1201" s="7" t="str">
        <x:f>IF(B1201="","",XLOOKUP(B1201,Employees!$A$4:$A$53,Employees!$B$4:$B$53,""))</x:f>
      </x:c>
      <x:c r="D1201" s="7"/>
      <x:c r="E1201" s="10" t="n">
        <x:v>8</x:v>
      </x:c>
      <x:c r="F1201" s="10"/>
      <x:c r="G1201" s="10" t="str">
        <x:f>IF(F1201="","",MIN(F1201,E1201))</x:f>
      </x:c>
      <x:c r="H1201" s="10" t="str">
        <x:f>IF(F1201="","",MAX(0,F1201-E1201))</x:f>
      </x:c>
      <x:c r="I1201" s="24"/>
      <x:c r="J1201" s="7"/>
      <x:c r="K1201" s="8" t="str">
        <x:f>IF(A1201="","",DATE(YEAR(A1201),MONTH(A1201),1))</x:f>
      </x:c>
    </x:row>
    <x:row r="1202">
      <x:c r="A1202" s="9"/>
      <x:c r="B1202" s="7"/>
      <x:c r="C1202" s="7" t="str">
        <x:f>IF(B1202="","",XLOOKUP(B1202,Employees!$A$4:$A$53,Employees!$B$4:$B$53,""))</x:f>
      </x:c>
      <x:c r="D1202" s="7"/>
      <x:c r="E1202" s="10" t="n">
        <x:v>8</x:v>
      </x:c>
      <x:c r="F1202" s="10"/>
      <x:c r="G1202" s="10" t="str">
        <x:f>IF(F1202="","",MIN(F1202,E1202))</x:f>
      </x:c>
      <x:c r="H1202" s="10" t="str">
        <x:f>IF(F1202="","",MAX(0,F1202-E1202))</x:f>
      </x:c>
      <x:c r="I1202" s="24"/>
      <x:c r="J1202" s="7"/>
      <x:c r="K1202" s="8" t="str">
        <x:f>IF(A1202="","",DATE(YEAR(A1202),MONTH(A1202),1))</x:f>
      </x:c>
    </x:row>
    <x:row r="1203">
      <x:c r="A1203" s="9"/>
      <x:c r="B1203" s="7"/>
      <x:c r="C1203" s="7" t="str">
        <x:f>IF(B1203="","",XLOOKUP(B1203,Employees!$A$4:$A$53,Employees!$B$4:$B$53,""))</x:f>
      </x:c>
      <x:c r="D1203" s="7"/>
      <x:c r="E1203" s="10" t="n">
        <x:v>8</x:v>
      </x:c>
      <x:c r="F1203" s="10"/>
      <x:c r="G1203" s="10" t="str">
        <x:f>IF(F1203="","",MIN(F1203,E1203))</x:f>
      </x:c>
      <x:c r="H1203" s="10" t="str">
        <x:f>IF(F1203="","",MAX(0,F1203-E1203))</x:f>
      </x:c>
      <x:c r="I1203" s="24"/>
      <x:c r="J1203" s="7"/>
      <x:c r="K1203" s="8" t="str">
        <x:f>IF(A1203="","",DATE(YEAR(A1203),MONTH(A1203),1))</x:f>
      </x:c>
    </x:row>
    <x:row r="1204">
      <x:c r="A1204" s="9"/>
      <x:c r="B1204" s="7"/>
      <x:c r="C1204" s="7" t="str">
        <x:f>IF(B1204="","",XLOOKUP(B1204,Employees!$A$4:$A$53,Employees!$B$4:$B$53,""))</x:f>
      </x:c>
      <x:c r="D1204" s="7"/>
      <x:c r="E1204" s="10" t="n">
        <x:v>8</x:v>
      </x:c>
      <x:c r="F1204" s="10"/>
      <x:c r="G1204" s="10" t="str">
        <x:f>IF(F1204="","",MIN(F1204,E1204))</x:f>
      </x:c>
      <x:c r="H1204" s="10" t="str">
        <x:f>IF(F1204="","",MAX(0,F1204-E1204))</x:f>
      </x:c>
      <x:c r="I1204" s="24"/>
      <x:c r="J1204" s="7"/>
      <x:c r="K1204" s="8" t="str">
        <x:f>IF(A1204="","",DATE(YEAR(A1204),MONTH(A1204),1))</x:f>
      </x:c>
    </x:row>
    <x:row r="1205">
      <x:c r="A1205" s="9"/>
      <x:c r="B1205" s="7"/>
      <x:c r="C1205" s="7" t="str">
        <x:f>IF(B1205="","",XLOOKUP(B1205,Employees!$A$4:$A$53,Employees!$B$4:$B$53,""))</x:f>
      </x:c>
      <x:c r="D1205" s="7"/>
      <x:c r="E1205" s="10" t="n">
        <x:v>8</x:v>
      </x:c>
      <x:c r="F1205" s="10"/>
      <x:c r="G1205" s="10" t="str">
        <x:f>IF(F1205="","",MIN(F1205,E1205))</x:f>
      </x:c>
      <x:c r="H1205" s="10" t="str">
        <x:f>IF(F1205="","",MAX(0,F1205-E1205))</x:f>
      </x:c>
      <x:c r="I1205" s="24"/>
      <x:c r="J1205" s="7"/>
      <x:c r="K1205" s="8" t="str">
        <x:f>IF(A1205="","",DATE(YEAR(A1205),MONTH(A1205),1))</x:f>
      </x:c>
    </x:row>
    <x:row r="1206">
      <x:c r="A1206" s="9"/>
      <x:c r="B1206" s="7"/>
      <x:c r="C1206" s="7" t="str">
        <x:f>IF(B1206="","",XLOOKUP(B1206,Employees!$A$4:$A$53,Employees!$B$4:$B$53,""))</x:f>
      </x:c>
      <x:c r="D1206" s="7"/>
      <x:c r="E1206" s="10" t="n">
        <x:v>8</x:v>
      </x:c>
      <x:c r="F1206" s="10"/>
      <x:c r="G1206" s="10" t="str">
        <x:f>IF(F1206="","",MIN(F1206,E1206))</x:f>
      </x:c>
      <x:c r="H1206" s="10" t="str">
        <x:f>IF(F1206="","",MAX(0,F1206-E1206))</x:f>
      </x:c>
      <x:c r="I1206" s="24"/>
      <x:c r="J1206" s="7"/>
      <x:c r="K1206" s="8" t="str">
        <x:f>IF(A1206="","",DATE(YEAR(A1206),MONTH(A1206),1))</x:f>
      </x:c>
    </x:row>
    <x:row r="1207">
      <x:c r="A1207" s="9"/>
      <x:c r="B1207" s="7"/>
      <x:c r="C1207" s="7" t="str">
        <x:f>IF(B1207="","",XLOOKUP(B1207,Employees!$A$4:$A$53,Employees!$B$4:$B$53,""))</x:f>
      </x:c>
      <x:c r="D1207" s="7"/>
      <x:c r="E1207" s="10" t="n">
        <x:v>8</x:v>
      </x:c>
      <x:c r="F1207" s="10"/>
      <x:c r="G1207" s="10" t="str">
        <x:f>IF(F1207="","",MIN(F1207,E1207))</x:f>
      </x:c>
      <x:c r="H1207" s="10" t="str">
        <x:f>IF(F1207="","",MAX(0,F1207-E1207))</x:f>
      </x:c>
      <x:c r="I1207" s="24"/>
      <x:c r="J1207" s="7"/>
      <x:c r="K1207" s="8" t="str">
        <x:f>IF(A1207="","",DATE(YEAR(A1207),MONTH(A1207),1))</x:f>
      </x:c>
    </x:row>
    <x:row r="1208">
      <x:c r="A1208" s="9"/>
      <x:c r="B1208" s="7"/>
      <x:c r="C1208" s="7" t="str">
        <x:f>IF(B1208="","",XLOOKUP(B1208,Employees!$A$4:$A$53,Employees!$B$4:$B$53,""))</x:f>
      </x:c>
      <x:c r="D1208" s="7"/>
      <x:c r="E1208" s="10" t="n">
        <x:v>8</x:v>
      </x:c>
      <x:c r="F1208" s="10"/>
      <x:c r="G1208" s="10" t="str">
        <x:f>IF(F1208="","",MIN(F1208,E1208))</x:f>
      </x:c>
      <x:c r="H1208" s="10" t="str">
        <x:f>IF(F1208="","",MAX(0,F1208-E1208))</x:f>
      </x:c>
      <x:c r="I1208" s="24"/>
      <x:c r="J1208" s="7"/>
      <x:c r="K1208" s="8" t="str">
        <x:f>IF(A1208="","",DATE(YEAR(A1208),MONTH(A1208),1))</x:f>
      </x:c>
    </x:row>
    <x:row r="1209">
      <x:c r="A1209" s="9"/>
      <x:c r="B1209" s="7"/>
      <x:c r="C1209" s="7" t="str">
        <x:f>IF(B1209="","",XLOOKUP(B1209,Employees!$A$4:$A$53,Employees!$B$4:$B$53,""))</x:f>
      </x:c>
      <x:c r="D1209" s="7"/>
      <x:c r="E1209" s="10" t="n">
        <x:v>8</x:v>
      </x:c>
      <x:c r="F1209" s="10"/>
      <x:c r="G1209" s="10" t="str">
        <x:f>IF(F1209="","",MIN(F1209,E1209))</x:f>
      </x:c>
      <x:c r="H1209" s="10" t="str">
        <x:f>IF(F1209="","",MAX(0,F1209-E1209))</x:f>
      </x:c>
      <x:c r="I1209" s="24"/>
      <x:c r="J1209" s="7"/>
      <x:c r="K1209" s="8" t="str">
        <x:f>IF(A1209="","",DATE(YEAR(A1209),MONTH(A1209),1))</x:f>
      </x:c>
    </x:row>
    <x:row r="1210">
      <x:c r="A1210" s="9"/>
      <x:c r="B1210" s="7"/>
      <x:c r="C1210" s="7" t="str">
        <x:f>IF(B1210="","",XLOOKUP(B1210,Employees!$A$4:$A$53,Employees!$B$4:$B$53,""))</x:f>
      </x:c>
      <x:c r="D1210" s="7"/>
      <x:c r="E1210" s="10" t="n">
        <x:v>8</x:v>
      </x:c>
      <x:c r="F1210" s="10"/>
      <x:c r="G1210" s="10" t="str">
        <x:f>IF(F1210="","",MIN(F1210,E1210))</x:f>
      </x:c>
      <x:c r="H1210" s="10" t="str">
        <x:f>IF(F1210="","",MAX(0,F1210-E1210))</x:f>
      </x:c>
      <x:c r="I1210" s="24"/>
      <x:c r="J1210" s="7"/>
      <x:c r="K1210" s="8" t="str">
        <x:f>IF(A1210="","",DATE(YEAR(A1210),MONTH(A1210),1))</x:f>
      </x:c>
    </x:row>
    <x:row r="1211">
      <x:c r="A1211" s="9"/>
      <x:c r="B1211" s="7"/>
      <x:c r="C1211" s="7" t="str">
        <x:f>IF(B1211="","",XLOOKUP(B1211,Employees!$A$4:$A$53,Employees!$B$4:$B$53,""))</x:f>
      </x:c>
      <x:c r="D1211" s="7"/>
      <x:c r="E1211" s="10" t="n">
        <x:v>8</x:v>
      </x:c>
      <x:c r="F1211" s="10"/>
      <x:c r="G1211" s="10" t="str">
        <x:f>IF(F1211="","",MIN(F1211,E1211))</x:f>
      </x:c>
      <x:c r="H1211" s="10" t="str">
        <x:f>IF(F1211="","",MAX(0,F1211-E1211))</x:f>
      </x:c>
      <x:c r="I1211" s="24"/>
      <x:c r="J1211" s="7"/>
      <x:c r="K1211" s="8" t="str">
        <x:f>IF(A1211="","",DATE(YEAR(A1211),MONTH(A1211),1))</x:f>
      </x:c>
    </x:row>
    <x:row r="1212">
      <x:c r="A1212" s="9"/>
      <x:c r="B1212" s="7"/>
      <x:c r="C1212" s="7" t="str">
        <x:f>IF(B1212="","",XLOOKUP(B1212,Employees!$A$4:$A$53,Employees!$B$4:$B$53,""))</x:f>
      </x:c>
      <x:c r="D1212" s="7"/>
      <x:c r="E1212" s="10" t="n">
        <x:v>8</x:v>
      </x:c>
      <x:c r="F1212" s="10"/>
      <x:c r="G1212" s="10" t="str">
        <x:f>IF(F1212="","",MIN(F1212,E1212))</x:f>
      </x:c>
      <x:c r="H1212" s="10" t="str">
        <x:f>IF(F1212="","",MAX(0,F1212-E1212))</x:f>
      </x:c>
      <x:c r="I1212" s="24"/>
      <x:c r="J1212" s="7"/>
      <x:c r="K1212" s="8" t="str">
        <x:f>IF(A1212="","",DATE(YEAR(A1212),MONTH(A1212),1))</x:f>
      </x:c>
    </x:row>
    <x:row r="1213">
      <x:c r="A1213" s="9"/>
      <x:c r="B1213" s="7"/>
      <x:c r="C1213" s="7" t="str">
        <x:f>IF(B1213="","",XLOOKUP(B1213,Employees!$A$4:$A$53,Employees!$B$4:$B$53,""))</x:f>
      </x:c>
      <x:c r="D1213" s="7"/>
      <x:c r="E1213" s="10" t="n">
        <x:v>8</x:v>
      </x:c>
      <x:c r="F1213" s="10"/>
      <x:c r="G1213" s="10" t="str">
        <x:f>IF(F1213="","",MIN(F1213,E1213))</x:f>
      </x:c>
      <x:c r="H1213" s="10" t="str">
        <x:f>IF(F1213="","",MAX(0,F1213-E1213))</x:f>
      </x:c>
      <x:c r="I1213" s="24"/>
      <x:c r="J1213" s="7"/>
      <x:c r="K1213" s="8" t="str">
        <x:f>IF(A1213="","",DATE(YEAR(A1213),MONTH(A1213),1))</x:f>
      </x:c>
    </x:row>
    <x:row r="1214">
      <x:c r="A1214" s="9"/>
      <x:c r="B1214" s="7"/>
      <x:c r="C1214" s="7" t="str">
        <x:f>IF(B1214="","",XLOOKUP(B1214,Employees!$A$4:$A$53,Employees!$B$4:$B$53,""))</x:f>
      </x:c>
      <x:c r="D1214" s="7"/>
      <x:c r="E1214" s="10" t="n">
        <x:v>8</x:v>
      </x:c>
      <x:c r="F1214" s="10"/>
      <x:c r="G1214" s="10" t="str">
        <x:f>IF(F1214="","",MIN(F1214,E1214))</x:f>
      </x:c>
      <x:c r="H1214" s="10" t="str">
        <x:f>IF(F1214="","",MAX(0,F1214-E1214))</x:f>
      </x:c>
      <x:c r="I1214" s="24"/>
      <x:c r="J1214" s="7"/>
      <x:c r="K1214" s="8" t="str">
        <x:f>IF(A1214="","",DATE(YEAR(A1214),MONTH(A1214),1))</x:f>
      </x:c>
    </x:row>
    <x:row r="1215">
      <x:c r="A1215" s="9"/>
      <x:c r="B1215" s="7"/>
      <x:c r="C1215" s="7" t="str">
        <x:f>IF(B1215="","",XLOOKUP(B1215,Employees!$A$4:$A$53,Employees!$B$4:$B$53,""))</x:f>
      </x:c>
      <x:c r="D1215" s="7"/>
      <x:c r="E1215" s="10" t="n">
        <x:v>8</x:v>
      </x:c>
      <x:c r="F1215" s="10"/>
      <x:c r="G1215" s="10" t="str">
        <x:f>IF(F1215="","",MIN(F1215,E1215))</x:f>
      </x:c>
      <x:c r="H1215" s="10" t="str">
        <x:f>IF(F1215="","",MAX(0,F1215-E1215))</x:f>
      </x:c>
      <x:c r="I1215" s="24"/>
      <x:c r="J1215" s="7"/>
      <x:c r="K1215" s="8" t="str">
        <x:f>IF(A1215="","",DATE(YEAR(A1215),MONTH(A1215),1))</x:f>
      </x:c>
    </x:row>
    <x:row r="1216">
      <x:c r="A1216" s="9"/>
      <x:c r="B1216" s="7"/>
      <x:c r="C1216" s="7" t="str">
        <x:f>IF(B1216="","",XLOOKUP(B1216,Employees!$A$4:$A$53,Employees!$B$4:$B$53,""))</x:f>
      </x:c>
      <x:c r="D1216" s="7"/>
      <x:c r="E1216" s="10" t="n">
        <x:v>8</x:v>
      </x:c>
      <x:c r="F1216" s="10"/>
      <x:c r="G1216" s="10" t="str">
        <x:f>IF(F1216="","",MIN(F1216,E1216))</x:f>
      </x:c>
      <x:c r="H1216" s="10" t="str">
        <x:f>IF(F1216="","",MAX(0,F1216-E1216))</x:f>
      </x:c>
      <x:c r="I1216" s="24"/>
      <x:c r="J1216" s="7"/>
      <x:c r="K1216" s="8" t="str">
        <x:f>IF(A1216="","",DATE(YEAR(A1216),MONTH(A1216),1))</x:f>
      </x:c>
    </x:row>
    <x:row r="1217">
      <x:c r="A1217" s="9"/>
      <x:c r="B1217" s="7"/>
      <x:c r="C1217" s="7" t="str">
        <x:f>IF(B1217="","",XLOOKUP(B1217,Employees!$A$4:$A$53,Employees!$B$4:$B$53,""))</x:f>
      </x:c>
      <x:c r="D1217" s="7"/>
      <x:c r="E1217" s="10" t="n">
        <x:v>8</x:v>
      </x:c>
      <x:c r="F1217" s="10"/>
      <x:c r="G1217" s="10" t="str">
        <x:f>IF(F1217="","",MIN(F1217,E1217))</x:f>
      </x:c>
      <x:c r="H1217" s="10" t="str">
        <x:f>IF(F1217="","",MAX(0,F1217-E1217))</x:f>
      </x:c>
      <x:c r="I1217" s="24"/>
      <x:c r="J1217" s="7"/>
      <x:c r="K1217" s="8" t="str">
        <x:f>IF(A1217="","",DATE(YEAR(A1217),MONTH(A1217),1))</x:f>
      </x:c>
    </x:row>
    <x:row r="1218">
      <x:c r="A1218" s="9"/>
      <x:c r="B1218" s="7"/>
      <x:c r="C1218" s="7" t="str">
        <x:f>IF(B1218="","",XLOOKUP(B1218,Employees!$A$4:$A$53,Employees!$B$4:$B$53,""))</x:f>
      </x:c>
      <x:c r="D1218" s="7"/>
      <x:c r="E1218" s="10" t="n">
        <x:v>8</x:v>
      </x:c>
      <x:c r="F1218" s="10"/>
      <x:c r="G1218" s="10" t="str">
        <x:f>IF(F1218="","",MIN(F1218,E1218))</x:f>
      </x:c>
      <x:c r="H1218" s="10" t="str">
        <x:f>IF(F1218="","",MAX(0,F1218-E1218))</x:f>
      </x:c>
      <x:c r="I1218" s="24"/>
      <x:c r="J1218" s="7"/>
      <x:c r="K1218" s="8" t="str">
        <x:f>IF(A1218="","",DATE(YEAR(A1218),MONTH(A1218),1))</x:f>
      </x:c>
    </x:row>
    <x:row r="1219">
      <x:c r="A1219" s="9"/>
      <x:c r="B1219" s="7"/>
      <x:c r="C1219" s="7" t="str">
        <x:f>IF(B1219="","",XLOOKUP(B1219,Employees!$A$4:$A$53,Employees!$B$4:$B$53,""))</x:f>
      </x:c>
      <x:c r="D1219" s="7"/>
      <x:c r="E1219" s="10" t="n">
        <x:v>8</x:v>
      </x:c>
      <x:c r="F1219" s="10"/>
      <x:c r="G1219" s="10" t="str">
        <x:f>IF(F1219="","",MIN(F1219,E1219))</x:f>
      </x:c>
      <x:c r="H1219" s="10" t="str">
        <x:f>IF(F1219="","",MAX(0,F1219-E1219))</x:f>
      </x:c>
      <x:c r="I1219" s="24"/>
      <x:c r="J1219" s="7"/>
      <x:c r="K1219" s="8" t="str">
        <x:f>IF(A1219="","",DATE(YEAR(A1219),MONTH(A1219),1))</x:f>
      </x:c>
    </x:row>
    <x:row r="1220">
      <x:c r="A1220" s="9"/>
      <x:c r="B1220" s="7"/>
      <x:c r="C1220" s="7" t="str">
        <x:f>IF(B1220="","",XLOOKUP(B1220,Employees!$A$4:$A$53,Employees!$B$4:$B$53,""))</x:f>
      </x:c>
      <x:c r="D1220" s="7"/>
      <x:c r="E1220" s="10" t="n">
        <x:v>8</x:v>
      </x:c>
      <x:c r="F1220" s="10"/>
      <x:c r="G1220" s="10" t="str">
        <x:f>IF(F1220="","",MIN(F1220,E1220))</x:f>
      </x:c>
      <x:c r="H1220" s="10" t="str">
        <x:f>IF(F1220="","",MAX(0,F1220-E1220))</x:f>
      </x:c>
      <x:c r="I1220" s="24"/>
      <x:c r="J1220" s="7"/>
      <x:c r="K1220" s="8" t="str">
        <x:f>IF(A1220="","",DATE(YEAR(A1220),MONTH(A1220),1))</x:f>
      </x:c>
    </x:row>
    <x:row r="1221">
      <x:c r="A1221" s="9"/>
      <x:c r="B1221" s="7"/>
      <x:c r="C1221" s="7" t="str">
        <x:f>IF(B1221="","",XLOOKUP(B1221,Employees!$A$4:$A$53,Employees!$B$4:$B$53,""))</x:f>
      </x:c>
      <x:c r="D1221" s="7"/>
      <x:c r="E1221" s="10" t="n">
        <x:v>8</x:v>
      </x:c>
      <x:c r="F1221" s="10"/>
      <x:c r="G1221" s="10" t="str">
        <x:f>IF(F1221="","",MIN(F1221,E1221))</x:f>
      </x:c>
      <x:c r="H1221" s="10" t="str">
        <x:f>IF(F1221="","",MAX(0,F1221-E1221))</x:f>
      </x:c>
      <x:c r="I1221" s="24"/>
      <x:c r="J1221" s="7"/>
      <x:c r="K1221" s="8" t="str">
        <x:f>IF(A1221="","",DATE(YEAR(A1221),MONTH(A1221),1))</x:f>
      </x:c>
    </x:row>
    <x:row r="1222">
      <x:c r="A1222" s="9"/>
      <x:c r="B1222" s="7"/>
      <x:c r="C1222" s="7" t="str">
        <x:f>IF(B1222="","",XLOOKUP(B1222,Employees!$A$4:$A$53,Employees!$B$4:$B$53,""))</x:f>
      </x:c>
      <x:c r="D1222" s="7"/>
      <x:c r="E1222" s="10" t="n">
        <x:v>8</x:v>
      </x:c>
      <x:c r="F1222" s="10"/>
      <x:c r="G1222" s="10" t="str">
        <x:f>IF(F1222="","",MIN(F1222,E1222))</x:f>
      </x:c>
      <x:c r="H1222" s="10" t="str">
        <x:f>IF(F1222="","",MAX(0,F1222-E1222))</x:f>
      </x:c>
      <x:c r="I1222" s="24"/>
      <x:c r="J1222" s="7"/>
      <x:c r="K1222" s="8" t="str">
        <x:f>IF(A1222="","",DATE(YEAR(A1222),MONTH(A1222),1))</x:f>
      </x:c>
    </x:row>
    <x:row r="1223">
      <x:c r="A1223" s="9"/>
      <x:c r="B1223" s="7"/>
      <x:c r="C1223" s="7" t="str">
        <x:f>IF(B1223="","",XLOOKUP(B1223,Employees!$A$4:$A$53,Employees!$B$4:$B$53,""))</x:f>
      </x:c>
      <x:c r="D1223" s="7"/>
      <x:c r="E1223" s="10" t="n">
        <x:v>8</x:v>
      </x:c>
      <x:c r="F1223" s="10"/>
      <x:c r="G1223" s="10" t="str">
        <x:f>IF(F1223="","",MIN(F1223,E1223))</x:f>
      </x:c>
      <x:c r="H1223" s="10" t="str">
        <x:f>IF(F1223="","",MAX(0,F1223-E1223))</x:f>
      </x:c>
      <x:c r="I1223" s="24"/>
      <x:c r="J1223" s="7"/>
      <x:c r="K1223" s="8" t="str">
        <x:f>IF(A1223="","",DATE(YEAR(A1223),MONTH(A1223),1))</x:f>
      </x:c>
    </x:row>
    <x:row r="1224">
      <x:c r="A1224" s="9"/>
      <x:c r="B1224" s="7"/>
      <x:c r="C1224" s="7" t="str">
        <x:f>IF(B1224="","",XLOOKUP(B1224,Employees!$A$4:$A$53,Employees!$B$4:$B$53,""))</x:f>
      </x:c>
      <x:c r="D1224" s="7"/>
      <x:c r="E1224" s="10" t="n">
        <x:v>8</x:v>
      </x:c>
      <x:c r="F1224" s="10"/>
      <x:c r="G1224" s="10" t="str">
        <x:f>IF(F1224="","",MIN(F1224,E1224))</x:f>
      </x:c>
      <x:c r="H1224" s="10" t="str">
        <x:f>IF(F1224="","",MAX(0,F1224-E1224))</x:f>
      </x:c>
      <x:c r="I1224" s="24"/>
      <x:c r="J1224" s="7"/>
      <x:c r="K1224" s="8" t="str">
        <x:f>IF(A1224="","",DATE(YEAR(A1224),MONTH(A1224),1))</x:f>
      </x:c>
    </x:row>
    <x:row r="1225">
      <x:c r="A1225" s="9"/>
      <x:c r="B1225" s="7"/>
      <x:c r="C1225" s="7" t="str">
        <x:f>IF(B1225="","",XLOOKUP(B1225,Employees!$A$4:$A$53,Employees!$B$4:$B$53,""))</x:f>
      </x:c>
      <x:c r="D1225" s="7"/>
      <x:c r="E1225" s="10" t="n">
        <x:v>8</x:v>
      </x:c>
      <x:c r="F1225" s="10"/>
      <x:c r="G1225" s="10" t="str">
        <x:f>IF(F1225="","",MIN(F1225,E1225))</x:f>
      </x:c>
      <x:c r="H1225" s="10" t="str">
        <x:f>IF(F1225="","",MAX(0,F1225-E1225))</x:f>
      </x:c>
      <x:c r="I1225" s="24"/>
      <x:c r="J1225" s="7"/>
      <x:c r="K1225" s="8" t="str">
        <x:f>IF(A1225="","",DATE(YEAR(A1225),MONTH(A1225),1))</x:f>
      </x:c>
    </x:row>
    <x:row r="1226">
      <x:c r="A1226" s="9"/>
      <x:c r="B1226" s="7"/>
      <x:c r="C1226" s="7" t="str">
        <x:f>IF(B1226="","",XLOOKUP(B1226,Employees!$A$4:$A$53,Employees!$B$4:$B$53,""))</x:f>
      </x:c>
      <x:c r="D1226" s="7"/>
      <x:c r="E1226" s="10" t="n">
        <x:v>8</x:v>
      </x:c>
      <x:c r="F1226" s="10"/>
      <x:c r="G1226" s="10" t="str">
        <x:f>IF(F1226="","",MIN(F1226,E1226))</x:f>
      </x:c>
      <x:c r="H1226" s="10" t="str">
        <x:f>IF(F1226="","",MAX(0,F1226-E1226))</x:f>
      </x:c>
      <x:c r="I1226" s="24"/>
      <x:c r="J1226" s="7"/>
      <x:c r="K1226" s="8" t="str">
        <x:f>IF(A1226="","",DATE(YEAR(A1226),MONTH(A1226),1))</x:f>
      </x:c>
    </x:row>
    <x:row r="1227">
      <x:c r="A1227" s="9"/>
      <x:c r="B1227" s="7"/>
      <x:c r="C1227" s="7" t="str">
        <x:f>IF(B1227="","",XLOOKUP(B1227,Employees!$A$4:$A$53,Employees!$B$4:$B$53,""))</x:f>
      </x:c>
      <x:c r="D1227" s="7"/>
      <x:c r="E1227" s="10" t="n">
        <x:v>8</x:v>
      </x:c>
      <x:c r="F1227" s="10"/>
      <x:c r="G1227" s="10" t="str">
        <x:f>IF(F1227="","",MIN(F1227,E1227))</x:f>
      </x:c>
      <x:c r="H1227" s="10" t="str">
        <x:f>IF(F1227="","",MAX(0,F1227-E1227))</x:f>
      </x:c>
      <x:c r="I1227" s="24"/>
      <x:c r="J1227" s="7"/>
      <x:c r="K1227" s="8" t="str">
        <x:f>IF(A1227="","",DATE(YEAR(A1227),MONTH(A1227),1))</x:f>
      </x:c>
    </x:row>
    <x:row r="1228">
      <x:c r="A1228" s="9"/>
      <x:c r="B1228" s="7"/>
      <x:c r="C1228" s="7" t="str">
        <x:f>IF(B1228="","",XLOOKUP(B1228,Employees!$A$4:$A$53,Employees!$B$4:$B$53,""))</x:f>
      </x:c>
      <x:c r="D1228" s="7"/>
      <x:c r="E1228" s="10" t="n">
        <x:v>8</x:v>
      </x:c>
      <x:c r="F1228" s="10"/>
      <x:c r="G1228" s="10" t="str">
        <x:f>IF(F1228="","",MIN(F1228,E1228))</x:f>
      </x:c>
      <x:c r="H1228" s="10" t="str">
        <x:f>IF(F1228="","",MAX(0,F1228-E1228))</x:f>
      </x:c>
      <x:c r="I1228" s="24"/>
      <x:c r="J1228" s="7"/>
      <x:c r="K1228" s="8" t="str">
        <x:f>IF(A1228="","",DATE(YEAR(A1228),MONTH(A1228),1))</x:f>
      </x:c>
    </x:row>
    <x:row r="1229">
      <x:c r="A1229" s="9"/>
      <x:c r="B1229" s="7"/>
      <x:c r="C1229" s="7" t="str">
        <x:f>IF(B1229="","",XLOOKUP(B1229,Employees!$A$4:$A$53,Employees!$B$4:$B$53,""))</x:f>
      </x:c>
      <x:c r="D1229" s="7"/>
      <x:c r="E1229" s="10" t="n">
        <x:v>8</x:v>
      </x:c>
      <x:c r="F1229" s="10"/>
      <x:c r="G1229" s="10" t="str">
        <x:f>IF(F1229="","",MIN(F1229,E1229))</x:f>
      </x:c>
      <x:c r="H1229" s="10" t="str">
        <x:f>IF(F1229="","",MAX(0,F1229-E1229))</x:f>
      </x:c>
      <x:c r="I1229" s="24"/>
      <x:c r="J1229" s="7"/>
      <x:c r="K1229" s="8" t="str">
        <x:f>IF(A1229="","",DATE(YEAR(A1229),MONTH(A1229),1))</x:f>
      </x:c>
    </x:row>
    <x:row r="1230">
      <x:c r="A1230" s="9"/>
      <x:c r="B1230" s="7"/>
      <x:c r="C1230" s="7" t="str">
        <x:f>IF(B1230="","",XLOOKUP(B1230,Employees!$A$4:$A$53,Employees!$B$4:$B$53,""))</x:f>
      </x:c>
      <x:c r="D1230" s="7"/>
      <x:c r="E1230" s="10" t="n">
        <x:v>8</x:v>
      </x:c>
      <x:c r="F1230" s="10"/>
      <x:c r="G1230" s="10" t="str">
        <x:f>IF(F1230="","",MIN(F1230,E1230))</x:f>
      </x:c>
      <x:c r="H1230" s="10" t="str">
        <x:f>IF(F1230="","",MAX(0,F1230-E1230))</x:f>
      </x:c>
      <x:c r="I1230" s="24"/>
      <x:c r="J1230" s="7"/>
      <x:c r="K1230" s="8" t="str">
        <x:f>IF(A1230="","",DATE(YEAR(A1230),MONTH(A1230),1))</x:f>
      </x:c>
    </x:row>
    <x:row r="1231">
      <x:c r="A1231" s="9"/>
      <x:c r="B1231" s="7"/>
      <x:c r="C1231" s="7" t="str">
        <x:f>IF(B1231="","",XLOOKUP(B1231,Employees!$A$4:$A$53,Employees!$B$4:$B$53,""))</x:f>
      </x:c>
      <x:c r="D1231" s="7"/>
      <x:c r="E1231" s="10" t="n">
        <x:v>8</x:v>
      </x:c>
      <x:c r="F1231" s="10"/>
      <x:c r="G1231" s="10" t="str">
        <x:f>IF(F1231="","",MIN(F1231,E1231))</x:f>
      </x:c>
      <x:c r="H1231" s="10" t="str">
        <x:f>IF(F1231="","",MAX(0,F1231-E1231))</x:f>
      </x:c>
      <x:c r="I1231" s="24"/>
      <x:c r="J1231" s="7"/>
      <x:c r="K1231" s="8" t="str">
        <x:f>IF(A1231="","",DATE(YEAR(A1231),MONTH(A1231),1))</x:f>
      </x:c>
    </x:row>
    <x:row r="1232">
      <x:c r="A1232" s="9"/>
      <x:c r="B1232" s="7"/>
      <x:c r="C1232" s="7" t="str">
        <x:f>IF(B1232="","",XLOOKUP(B1232,Employees!$A$4:$A$53,Employees!$B$4:$B$53,""))</x:f>
      </x:c>
      <x:c r="D1232" s="7"/>
      <x:c r="E1232" s="10" t="n">
        <x:v>8</x:v>
      </x:c>
      <x:c r="F1232" s="10"/>
      <x:c r="G1232" s="10" t="str">
        <x:f>IF(F1232="","",MIN(F1232,E1232))</x:f>
      </x:c>
      <x:c r="H1232" s="10" t="str">
        <x:f>IF(F1232="","",MAX(0,F1232-E1232))</x:f>
      </x:c>
      <x:c r="I1232" s="24"/>
      <x:c r="J1232" s="7"/>
      <x:c r="K1232" s="8" t="str">
        <x:f>IF(A1232="","",DATE(YEAR(A1232),MONTH(A1232),1))</x:f>
      </x:c>
    </x:row>
    <x:row r="1233">
      <x:c r="A1233" s="9"/>
      <x:c r="B1233" s="7"/>
      <x:c r="C1233" s="7" t="str">
        <x:f>IF(B1233="","",XLOOKUP(B1233,Employees!$A$4:$A$53,Employees!$B$4:$B$53,""))</x:f>
      </x:c>
      <x:c r="D1233" s="7"/>
      <x:c r="E1233" s="10" t="n">
        <x:v>8</x:v>
      </x:c>
      <x:c r="F1233" s="10"/>
      <x:c r="G1233" s="10" t="str">
        <x:f>IF(F1233="","",MIN(F1233,E1233))</x:f>
      </x:c>
      <x:c r="H1233" s="10" t="str">
        <x:f>IF(F1233="","",MAX(0,F1233-E1233))</x:f>
      </x:c>
      <x:c r="I1233" s="24"/>
      <x:c r="J1233" s="7"/>
      <x:c r="K1233" s="8" t="str">
        <x:f>IF(A1233="","",DATE(YEAR(A1233),MONTH(A1233),1))</x:f>
      </x:c>
    </x:row>
    <x:row r="1234">
      <x:c r="A1234" s="9"/>
      <x:c r="B1234" s="7"/>
      <x:c r="C1234" s="7" t="str">
        <x:f>IF(B1234="","",XLOOKUP(B1234,Employees!$A$4:$A$53,Employees!$B$4:$B$53,""))</x:f>
      </x:c>
      <x:c r="D1234" s="7"/>
      <x:c r="E1234" s="10" t="n">
        <x:v>8</x:v>
      </x:c>
      <x:c r="F1234" s="10"/>
      <x:c r="G1234" s="10" t="str">
        <x:f>IF(F1234="","",MIN(F1234,E1234))</x:f>
      </x:c>
      <x:c r="H1234" s="10" t="str">
        <x:f>IF(F1234="","",MAX(0,F1234-E1234))</x:f>
      </x:c>
      <x:c r="I1234" s="24"/>
      <x:c r="J1234" s="7"/>
      <x:c r="K1234" s="8" t="str">
        <x:f>IF(A1234="","",DATE(YEAR(A1234),MONTH(A1234),1))</x:f>
      </x:c>
    </x:row>
    <x:row r="1235">
      <x:c r="A1235" s="9"/>
      <x:c r="B1235" s="7"/>
      <x:c r="C1235" s="7" t="str">
        <x:f>IF(B1235="","",XLOOKUP(B1235,Employees!$A$4:$A$53,Employees!$B$4:$B$53,""))</x:f>
      </x:c>
      <x:c r="D1235" s="7"/>
      <x:c r="E1235" s="10" t="n">
        <x:v>8</x:v>
      </x:c>
      <x:c r="F1235" s="10"/>
      <x:c r="G1235" s="10" t="str">
        <x:f>IF(F1235="","",MIN(F1235,E1235))</x:f>
      </x:c>
      <x:c r="H1235" s="10" t="str">
        <x:f>IF(F1235="","",MAX(0,F1235-E1235))</x:f>
      </x:c>
      <x:c r="I1235" s="24"/>
      <x:c r="J1235" s="7"/>
      <x:c r="K1235" s="8" t="str">
        <x:f>IF(A1235="","",DATE(YEAR(A1235),MONTH(A1235),1))</x:f>
      </x:c>
    </x:row>
    <x:row r="1236">
      <x:c r="A1236" s="9"/>
      <x:c r="B1236" s="7"/>
      <x:c r="C1236" s="7" t="str">
        <x:f>IF(B1236="","",XLOOKUP(B1236,Employees!$A$4:$A$53,Employees!$B$4:$B$53,""))</x:f>
      </x:c>
      <x:c r="D1236" s="7"/>
      <x:c r="E1236" s="10" t="n">
        <x:v>8</x:v>
      </x:c>
      <x:c r="F1236" s="10"/>
      <x:c r="G1236" s="10" t="str">
        <x:f>IF(F1236="","",MIN(F1236,E1236))</x:f>
      </x:c>
      <x:c r="H1236" s="10" t="str">
        <x:f>IF(F1236="","",MAX(0,F1236-E1236))</x:f>
      </x:c>
      <x:c r="I1236" s="24"/>
      <x:c r="J1236" s="7"/>
      <x:c r="K1236" s="8" t="str">
        <x:f>IF(A1236="","",DATE(YEAR(A1236),MONTH(A1236),1))</x:f>
      </x:c>
    </x:row>
    <x:row r="1237">
      <x:c r="A1237" s="9"/>
      <x:c r="B1237" s="7"/>
      <x:c r="C1237" s="7" t="str">
        <x:f>IF(B1237="","",XLOOKUP(B1237,Employees!$A$4:$A$53,Employees!$B$4:$B$53,""))</x:f>
      </x:c>
      <x:c r="D1237" s="7"/>
      <x:c r="E1237" s="10" t="n">
        <x:v>8</x:v>
      </x:c>
      <x:c r="F1237" s="10"/>
      <x:c r="G1237" s="10" t="str">
        <x:f>IF(F1237="","",MIN(F1237,E1237))</x:f>
      </x:c>
      <x:c r="H1237" s="10" t="str">
        <x:f>IF(F1237="","",MAX(0,F1237-E1237))</x:f>
      </x:c>
      <x:c r="I1237" s="24"/>
      <x:c r="J1237" s="7"/>
      <x:c r="K1237" s="8" t="str">
        <x:f>IF(A1237="","",DATE(YEAR(A1237),MONTH(A1237),1))</x:f>
      </x:c>
    </x:row>
    <x:row r="1238">
      <x:c r="A1238" s="9"/>
      <x:c r="B1238" s="7"/>
      <x:c r="C1238" s="7" t="str">
        <x:f>IF(B1238="","",XLOOKUP(B1238,Employees!$A$4:$A$53,Employees!$B$4:$B$53,""))</x:f>
      </x:c>
      <x:c r="D1238" s="7"/>
      <x:c r="E1238" s="10" t="n">
        <x:v>8</x:v>
      </x:c>
      <x:c r="F1238" s="10"/>
      <x:c r="G1238" s="10" t="str">
        <x:f>IF(F1238="","",MIN(F1238,E1238))</x:f>
      </x:c>
      <x:c r="H1238" s="10" t="str">
        <x:f>IF(F1238="","",MAX(0,F1238-E1238))</x:f>
      </x:c>
      <x:c r="I1238" s="24"/>
      <x:c r="J1238" s="7"/>
      <x:c r="K1238" s="8" t="str">
        <x:f>IF(A1238="","",DATE(YEAR(A1238),MONTH(A1238),1))</x:f>
      </x:c>
    </x:row>
    <x:row r="1239">
      <x:c r="A1239" s="9"/>
      <x:c r="B1239" s="7"/>
      <x:c r="C1239" s="7" t="str">
        <x:f>IF(B1239="","",XLOOKUP(B1239,Employees!$A$4:$A$53,Employees!$B$4:$B$53,""))</x:f>
      </x:c>
      <x:c r="D1239" s="7"/>
      <x:c r="E1239" s="10" t="n">
        <x:v>8</x:v>
      </x:c>
      <x:c r="F1239" s="10"/>
      <x:c r="G1239" s="10" t="str">
        <x:f>IF(F1239="","",MIN(F1239,E1239))</x:f>
      </x:c>
      <x:c r="H1239" s="10" t="str">
        <x:f>IF(F1239="","",MAX(0,F1239-E1239))</x:f>
      </x:c>
      <x:c r="I1239" s="24"/>
      <x:c r="J1239" s="7"/>
      <x:c r="K1239" s="8" t="str">
        <x:f>IF(A1239="","",DATE(YEAR(A1239),MONTH(A1239),1))</x:f>
      </x:c>
    </x:row>
    <x:row r="1240">
      <x:c r="A1240" s="9"/>
      <x:c r="B1240" s="7"/>
      <x:c r="C1240" s="7" t="str">
        <x:f>IF(B1240="","",XLOOKUP(B1240,Employees!$A$4:$A$53,Employees!$B$4:$B$53,""))</x:f>
      </x:c>
      <x:c r="D1240" s="7"/>
      <x:c r="E1240" s="10" t="n">
        <x:v>8</x:v>
      </x:c>
      <x:c r="F1240" s="10"/>
      <x:c r="G1240" s="10" t="str">
        <x:f>IF(F1240="","",MIN(F1240,E1240))</x:f>
      </x:c>
      <x:c r="H1240" s="10" t="str">
        <x:f>IF(F1240="","",MAX(0,F1240-E1240))</x:f>
      </x:c>
      <x:c r="I1240" s="24"/>
      <x:c r="J1240" s="7"/>
      <x:c r="K1240" s="8" t="str">
        <x:f>IF(A1240="","",DATE(YEAR(A1240),MONTH(A1240),1))</x:f>
      </x:c>
    </x:row>
    <x:row r="1241">
      <x:c r="A1241" s="9"/>
      <x:c r="B1241" s="7"/>
      <x:c r="C1241" s="7" t="str">
        <x:f>IF(B1241="","",XLOOKUP(B1241,Employees!$A$4:$A$53,Employees!$B$4:$B$53,""))</x:f>
      </x:c>
      <x:c r="D1241" s="7"/>
      <x:c r="E1241" s="10" t="n">
        <x:v>8</x:v>
      </x:c>
      <x:c r="F1241" s="10"/>
      <x:c r="G1241" s="10" t="str">
        <x:f>IF(F1241="","",MIN(F1241,E1241))</x:f>
      </x:c>
      <x:c r="H1241" s="10" t="str">
        <x:f>IF(F1241="","",MAX(0,F1241-E1241))</x:f>
      </x:c>
      <x:c r="I1241" s="24"/>
      <x:c r="J1241" s="7"/>
      <x:c r="K1241" s="8" t="str">
        <x:f>IF(A1241="","",DATE(YEAR(A1241),MONTH(A1241),1))</x:f>
      </x:c>
    </x:row>
    <x:row r="1242">
      <x:c r="A1242" s="9"/>
      <x:c r="B1242" s="7"/>
      <x:c r="C1242" s="7" t="str">
        <x:f>IF(B1242="","",XLOOKUP(B1242,Employees!$A$4:$A$53,Employees!$B$4:$B$53,""))</x:f>
      </x:c>
      <x:c r="D1242" s="7"/>
      <x:c r="E1242" s="10" t="n">
        <x:v>8</x:v>
      </x:c>
      <x:c r="F1242" s="10"/>
      <x:c r="G1242" s="10" t="str">
        <x:f>IF(F1242="","",MIN(F1242,E1242))</x:f>
      </x:c>
      <x:c r="H1242" s="10" t="str">
        <x:f>IF(F1242="","",MAX(0,F1242-E1242))</x:f>
      </x:c>
      <x:c r="I1242" s="24"/>
      <x:c r="J1242" s="7"/>
      <x:c r="K1242" s="8" t="str">
        <x:f>IF(A1242="","",DATE(YEAR(A1242),MONTH(A1242),1))</x:f>
      </x:c>
    </x:row>
    <x:row r="1243">
      <x:c r="A1243" s="9"/>
      <x:c r="B1243" s="7"/>
      <x:c r="C1243" s="7" t="str">
        <x:f>IF(B1243="","",XLOOKUP(B1243,Employees!$A$4:$A$53,Employees!$B$4:$B$53,""))</x:f>
      </x:c>
      <x:c r="D1243" s="7"/>
      <x:c r="E1243" s="10" t="n">
        <x:v>8</x:v>
      </x:c>
      <x:c r="F1243" s="10"/>
      <x:c r="G1243" s="10" t="str">
        <x:f>IF(F1243="","",MIN(F1243,E1243))</x:f>
      </x:c>
      <x:c r="H1243" s="10" t="str">
        <x:f>IF(F1243="","",MAX(0,F1243-E1243))</x:f>
      </x:c>
      <x:c r="I1243" s="24"/>
      <x:c r="J1243" s="7"/>
      <x:c r="K1243" s="8" t="str">
        <x:f>IF(A1243="","",DATE(YEAR(A1243),MONTH(A1243),1))</x:f>
      </x:c>
    </x:row>
    <x:row r="1244">
      <x:c r="A1244" s="9"/>
      <x:c r="B1244" s="7"/>
      <x:c r="C1244" s="7" t="str">
        <x:f>IF(B1244="","",XLOOKUP(B1244,Employees!$A$4:$A$53,Employees!$B$4:$B$53,""))</x:f>
      </x:c>
      <x:c r="D1244" s="7"/>
      <x:c r="E1244" s="10" t="n">
        <x:v>8</x:v>
      </x:c>
      <x:c r="F1244" s="10"/>
      <x:c r="G1244" s="10" t="str">
        <x:f>IF(F1244="","",MIN(F1244,E1244))</x:f>
      </x:c>
      <x:c r="H1244" s="10" t="str">
        <x:f>IF(F1244="","",MAX(0,F1244-E1244))</x:f>
      </x:c>
      <x:c r="I1244" s="24"/>
      <x:c r="J1244" s="7"/>
      <x:c r="K1244" s="8" t="str">
        <x:f>IF(A1244="","",DATE(YEAR(A1244),MONTH(A1244),1))</x:f>
      </x:c>
    </x:row>
    <x:row r="1245">
      <x:c r="A1245" s="9"/>
      <x:c r="B1245" s="7"/>
      <x:c r="C1245" s="7" t="str">
        <x:f>IF(B1245="","",XLOOKUP(B1245,Employees!$A$4:$A$53,Employees!$B$4:$B$53,""))</x:f>
      </x:c>
      <x:c r="D1245" s="7"/>
      <x:c r="E1245" s="10" t="n">
        <x:v>8</x:v>
      </x:c>
      <x:c r="F1245" s="10"/>
      <x:c r="G1245" s="10" t="str">
        <x:f>IF(F1245="","",MIN(F1245,E1245))</x:f>
      </x:c>
      <x:c r="H1245" s="10" t="str">
        <x:f>IF(F1245="","",MAX(0,F1245-E1245))</x:f>
      </x:c>
      <x:c r="I1245" s="24"/>
      <x:c r="J1245" s="7"/>
      <x:c r="K1245" s="8" t="str">
        <x:f>IF(A1245="","",DATE(YEAR(A1245),MONTH(A1245),1))</x:f>
      </x:c>
    </x:row>
    <x:row r="1246">
      <x:c r="A1246" s="9"/>
      <x:c r="B1246" s="7"/>
      <x:c r="C1246" s="7" t="str">
        <x:f>IF(B1246="","",XLOOKUP(B1246,Employees!$A$4:$A$53,Employees!$B$4:$B$53,""))</x:f>
      </x:c>
      <x:c r="D1246" s="7"/>
      <x:c r="E1246" s="10" t="n">
        <x:v>8</x:v>
      </x:c>
      <x:c r="F1246" s="10"/>
      <x:c r="G1246" s="10" t="str">
        <x:f>IF(F1246="","",MIN(F1246,E1246))</x:f>
      </x:c>
      <x:c r="H1246" s="10" t="str">
        <x:f>IF(F1246="","",MAX(0,F1246-E1246))</x:f>
      </x:c>
      <x:c r="I1246" s="24"/>
      <x:c r="J1246" s="7"/>
      <x:c r="K1246" s="8" t="str">
        <x:f>IF(A1246="","",DATE(YEAR(A1246),MONTH(A1246),1))</x:f>
      </x:c>
    </x:row>
    <x:row r="1247">
      <x:c r="A1247" s="9"/>
      <x:c r="B1247" s="7"/>
      <x:c r="C1247" s="7" t="str">
        <x:f>IF(B1247="","",XLOOKUP(B1247,Employees!$A$4:$A$53,Employees!$B$4:$B$53,""))</x:f>
      </x:c>
      <x:c r="D1247" s="7"/>
      <x:c r="E1247" s="10" t="n">
        <x:v>8</x:v>
      </x:c>
      <x:c r="F1247" s="10"/>
      <x:c r="G1247" s="10" t="str">
        <x:f>IF(F1247="","",MIN(F1247,E1247))</x:f>
      </x:c>
      <x:c r="H1247" s="10" t="str">
        <x:f>IF(F1247="","",MAX(0,F1247-E1247))</x:f>
      </x:c>
      <x:c r="I1247" s="24"/>
      <x:c r="J1247" s="7"/>
      <x:c r="K1247" s="8" t="str">
        <x:f>IF(A1247="","",DATE(YEAR(A1247),MONTH(A1247),1))</x:f>
      </x:c>
    </x:row>
    <x:row r="1248">
      <x:c r="A1248" s="9"/>
      <x:c r="B1248" s="7"/>
      <x:c r="C1248" s="7" t="str">
        <x:f>IF(B1248="","",XLOOKUP(B1248,Employees!$A$4:$A$53,Employees!$B$4:$B$53,""))</x:f>
      </x:c>
      <x:c r="D1248" s="7"/>
      <x:c r="E1248" s="10" t="n">
        <x:v>8</x:v>
      </x:c>
      <x:c r="F1248" s="10"/>
      <x:c r="G1248" s="10" t="str">
        <x:f>IF(F1248="","",MIN(F1248,E1248))</x:f>
      </x:c>
      <x:c r="H1248" s="10" t="str">
        <x:f>IF(F1248="","",MAX(0,F1248-E1248))</x:f>
      </x:c>
      <x:c r="I1248" s="24"/>
      <x:c r="J1248" s="7"/>
      <x:c r="K1248" s="8" t="str">
        <x:f>IF(A1248="","",DATE(YEAR(A1248),MONTH(A1248),1))</x:f>
      </x:c>
    </x:row>
    <x:row r="1249">
      <x:c r="A1249" s="9"/>
      <x:c r="B1249" s="7"/>
      <x:c r="C1249" s="7" t="str">
        <x:f>IF(B1249="","",XLOOKUP(B1249,Employees!$A$4:$A$53,Employees!$B$4:$B$53,""))</x:f>
      </x:c>
      <x:c r="D1249" s="7"/>
      <x:c r="E1249" s="10" t="n">
        <x:v>8</x:v>
      </x:c>
      <x:c r="F1249" s="10"/>
      <x:c r="G1249" s="10" t="str">
        <x:f>IF(F1249="","",MIN(F1249,E1249))</x:f>
      </x:c>
      <x:c r="H1249" s="10" t="str">
        <x:f>IF(F1249="","",MAX(0,F1249-E1249))</x:f>
      </x:c>
      <x:c r="I1249" s="24"/>
      <x:c r="J1249" s="7"/>
      <x:c r="K1249" s="8" t="str">
        <x:f>IF(A1249="","",DATE(YEAR(A1249),MONTH(A1249),1))</x:f>
      </x:c>
    </x:row>
    <x:row r="1250">
      <x:c r="A1250" s="9"/>
      <x:c r="B1250" s="7"/>
      <x:c r="C1250" s="7" t="str">
        <x:f>IF(B1250="","",XLOOKUP(B1250,Employees!$A$4:$A$53,Employees!$B$4:$B$53,""))</x:f>
      </x:c>
      <x:c r="D1250" s="7"/>
      <x:c r="E1250" s="10" t="n">
        <x:v>8</x:v>
      </x:c>
      <x:c r="F1250" s="10"/>
      <x:c r="G1250" s="10" t="str">
        <x:f>IF(F1250="","",MIN(F1250,E1250))</x:f>
      </x:c>
      <x:c r="H1250" s="10" t="str">
        <x:f>IF(F1250="","",MAX(0,F1250-E1250))</x:f>
      </x:c>
      <x:c r="I1250" s="24"/>
      <x:c r="J1250" s="7"/>
      <x:c r="K1250" s="8" t="str">
        <x:f>IF(A1250="","",DATE(YEAR(A1250),MONTH(A1250),1))</x:f>
      </x:c>
    </x:row>
    <x:row r="1251">
      <x:c r="A1251" s="9"/>
      <x:c r="B1251" s="7"/>
      <x:c r="C1251" s="7" t="str">
        <x:f>IF(B1251="","",XLOOKUP(B1251,Employees!$A$4:$A$53,Employees!$B$4:$B$53,""))</x:f>
      </x:c>
      <x:c r="D1251" s="7"/>
      <x:c r="E1251" s="10" t="n">
        <x:v>8</x:v>
      </x:c>
      <x:c r="F1251" s="10"/>
      <x:c r="G1251" s="10" t="str">
        <x:f>IF(F1251="","",MIN(F1251,E1251))</x:f>
      </x:c>
      <x:c r="H1251" s="10" t="str">
        <x:f>IF(F1251="","",MAX(0,F1251-E1251))</x:f>
      </x:c>
      <x:c r="I1251" s="24"/>
      <x:c r="J1251" s="7"/>
      <x:c r="K1251" s="8" t="str">
        <x:f>IF(A1251="","",DATE(YEAR(A1251),MONTH(A1251),1))</x:f>
      </x:c>
    </x:row>
    <x:row r="1252">
      <x:c r="A1252" s="9"/>
      <x:c r="B1252" s="7"/>
      <x:c r="C1252" s="7" t="str">
        <x:f>IF(B1252="","",XLOOKUP(B1252,Employees!$A$4:$A$53,Employees!$B$4:$B$53,""))</x:f>
      </x:c>
      <x:c r="D1252" s="7"/>
      <x:c r="E1252" s="10" t="n">
        <x:v>8</x:v>
      </x:c>
      <x:c r="F1252" s="10"/>
      <x:c r="G1252" s="10" t="str">
        <x:f>IF(F1252="","",MIN(F1252,E1252))</x:f>
      </x:c>
      <x:c r="H1252" s="10" t="str">
        <x:f>IF(F1252="","",MAX(0,F1252-E1252))</x:f>
      </x:c>
      <x:c r="I1252" s="24"/>
      <x:c r="J1252" s="7"/>
      <x:c r="K1252" s="8" t="str">
        <x:f>IF(A1252="","",DATE(YEAR(A1252),MONTH(A1252),1))</x:f>
      </x:c>
    </x:row>
    <x:row r="1253">
      <x:c r="A1253" s="9"/>
      <x:c r="B1253" s="7"/>
      <x:c r="C1253" s="7" t="str">
        <x:f>IF(B1253="","",XLOOKUP(B1253,Employees!$A$4:$A$53,Employees!$B$4:$B$53,""))</x:f>
      </x:c>
      <x:c r="D1253" s="7"/>
      <x:c r="E1253" s="10" t="n">
        <x:v>8</x:v>
      </x:c>
      <x:c r="F1253" s="10"/>
      <x:c r="G1253" s="10" t="str">
        <x:f>IF(F1253="","",MIN(F1253,E1253))</x:f>
      </x:c>
      <x:c r="H1253" s="10" t="str">
        <x:f>IF(F1253="","",MAX(0,F1253-E1253))</x:f>
      </x:c>
      <x:c r="I1253" s="24"/>
      <x:c r="J1253" s="7"/>
      <x:c r="K1253" s="8" t="str">
        <x:f>IF(A1253="","",DATE(YEAR(A1253),MONTH(A1253),1))</x:f>
      </x:c>
    </x:row>
    <x:row r="1254">
      <x:c r="A1254" s="9"/>
      <x:c r="B1254" s="7"/>
      <x:c r="C1254" s="7" t="str">
        <x:f>IF(B1254="","",XLOOKUP(B1254,Employees!$A$4:$A$53,Employees!$B$4:$B$53,""))</x:f>
      </x:c>
      <x:c r="D1254" s="7"/>
      <x:c r="E1254" s="10" t="n">
        <x:v>8</x:v>
      </x:c>
      <x:c r="F1254" s="10"/>
      <x:c r="G1254" s="10" t="str">
        <x:f>IF(F1254="","",MIN(F1254,E1254))</x:f>
      </x:c>
      <x:c r="H1254" s="10" t="str">
        <x:f>IF(F1254="","",MAX(0,F1254-E1254))</x:f>
      </x:c>
      <x:c r="I1254" s="24"/>
      <x:c r="J1254" s="7"/>
      <x:c r="K1254" s="8" t="str">
        <x:f>IF(A1254="","",DATE(YEAR(A1254),MONTH(A1254),1))</x:f>
      </x:c>
    </x:row>
    <x:row r="1255">
      <x:c r="A1255" s="9"/>
      <x:c r="B1255" s="7"/>
      <x:c r="C1255" s="7" t="str">
        <x:f>IF(B1255="","",XLOOKUP(B1255,Employees!$A$4:$A$53,Employees!$B$4:$B$53,""))</x:f>
      </x:c>
      <x:c r="D1255" s="7"/>
      <x:c r="E1255" s="10" t="n">
        <x:v>8</x:v>
      </x:c>
      <x:c r="F1255" s="10"/>
      <x:c r="G1255" s="10" t="str">
        <x:f>IF(F1255="","",MIN(F1255,E1255))</x:f>
      </x:c>
      <x:c r="H1255" s="10" t="str">
        <x:f>IF(F1255="","",MAX(0,F1255-E1255))</x:f>
      </x:c>
      <x:c r="I1255" s="24"/>
      <x:c r="J1255" s="7"/>
      <x:c r="K1255" s="8" t="str">
        <x:f>IF(A1255="","",DATE(YEAR(A1255),MONTH(A1255),1))</x:f>
      </x:c>
    </x:row>
    <x:row r="1256">
      <x:c r="A1256" s="9"/>
      <x:c r="B1256" s="7"/>
      <x:c r="C1256" s="7" t="str">
        <x:f>IF(B1256="","",XLOOKUP(B1256,Employees!$A$4:$A$53,Employees!$B$4:$B$53,""))</x:f>
      </x:c>
      <x:c r="D1256" s="7"/>
      <x:c r="E1256" s="10" t="n">
        <x:v>8</x:v>
      </x:c>
      <x:c r="F1256" s="10"/>
      <x:c r="G1256" s="10" t="str">
        <x:f>IF(F1256="","",MIN(F1256,E1256))</x:f>
      </x:c>
      <x:c r="H1256" s="10" t="str">
        <x:f>IF(F1256="","",MAX(0,F1256-E1256))</x:f>
      </x:c>
      <x:c r="I1256" s="24"/>
      <x:c r="J1256" s="7"/>
      <x:c r="K1256" s="8" t="str">
        <x:f>IF(A1256="","",DATE(YEAR(A1256),MONTH(A1256),1))</x:f>
      </x:c>
    </x:row>
    <x:row r="1257">
      <x:c r="A1257" s="9"/>
      <x:c r="B1257" s="7"/>
      <x:c r="C1257" s="7" t="str">
        <x:f>IF(B1257="","",XLOOKUP(B1257,Employees!$A$4:$A$53,Employees!$B$4:$B$53,""))</x:f>
      </x:c>
      <x:c r="D1257" s="7"/>
      <x:c r="E1257" s="10" t="n">
        <x:v>8</x:v>
      </x:c>
      <x:c r="F1257" s="10"/>
      <x:c r="G1257" s="10" t="str">
        <x:f>IF(F1257="","",MIN(F1257,E1257))</x:f>
      </x:c>
      <x:c r="H1257" s="10" t="str">
        <x:f>IF(F1257="","",MAX(0,F1257-E1257))</x:f>
      </x:c>
      <x:c r="I1257" s="24"/>
      <x:c r="J1257" s="7"/>
      <x:c r="K1257" s="8" t="str">
        <x:f>IF(A1257="","",DATE(YEAR(A1257),MONTH(A1257),1))</x:f>
      </x:c>
    </x:row>
    <x:row r="1258">
      <x:c r="A1258" s="9"/>
      <x:c r="B1258" s="7"/>
      <x:c r="C1258" s="7" t="str">
        <x:f>IF(B1258="","",XLOOKUP(B1258,Employees!$A$4:$A$53,Employees!$B$4:$B$53,""))</x:f>
      </x:c>
      <x:c r="D1258" s="7"/>
      <x:c r="E1258" s="10" t="n">
        <x:v>8</x:v>
      </x:c>
      <x:c r="F1258" s="10"/>
      <x:c r="G1258" s="10" t="str">
        <x:f>IF(F1258="","",MIN(F1258,E1258))</x:f>
      </x:c>
      <x:c r="H1258" s="10" t="str">
        <x:f>IF(F1258="","",MAX(0,F1258-E1258))</x:f>
      </x:c>
      <x:c r="I1258" s="24"/>
      <x:c r="J1258" s="7"/>
      <x:c r="K1258" s="8" t="str">
        <x:f>IF(A1258="","",DATE(YEAR(A1258),MONTH(A1258),1))</x:f>
      </x:c>
    </x:row>
    <x:row r="1259">
      <x:c r="A1259" s="9"/>
      <x:c r="B1259" s="7"/>
      <x:c r="C1259" s="7" t="str">
        <x:f>IF(B1259="","",XLOOKUP(B1259,Employees!$A$4:$A$53,Employees!$B$4:$B$53,""))</x:f>
      </x:c>
      <x:c r="D1259" s="7"/>
      <x:c r="E1259" s="10" t="n">
        <x:v>8</x:v>
      </x:c>
      <x:c r="F1259" s="10"/>
      <x:c r="G1259" s="10" t="str">
        <x:f>IF(F1259="","",MIN(F1259,E1259))</x:f>
      </x:c>
      <x:c r="H1259" s="10" t="str">
        <x:f>IF(F1259="","",MAX(0,F1259-E1259))</x:f>
      </x:c>
      <x:c r="I1259" s="24"/>
      <x:c r="J1259" s="7"/>
      <x:c r="K1259" s="8" t="str">
        <x:f>IF(A1259="","",DATE(YEAR(A1259),MONTH(A1259),1))</x:f>
      </x:c>
    </x:row>
    <x:row r="1260">
      <x:c r="A1260" s="9"/>
      <x:c r="B1260" s="7"/>
      <x:c r="C1260" s="7" t="str">
        <x:f>IF(B1260="","",XLOOKUP(B1260,Employees!$A$4:$A$53,Employees!$B$4:$B$53,""))</x:f>
      </x:c>
      <x:c r="D1260" s="7"/>
      <x:c r="E1260" s="10" t="n">
        <x:v>8</x:v>
      </x:c>
      <x:c r="F1260" s="10"/>
      <x:c r="G1260" s="10" t="str">
        <x:f>IF(F1260="","",MIN(F1260,E1260))</x:f>
      </x:c>
      <x:c r="H1260" s="10" t="str">
        <x:f>IF(F1260="","",MAX(0,F1260-E1260))</x:f>
      </x:c>
      <x:c r="I1260" s="24"/>
      <x:c r="J1260" s="7"/>
      <x:c r="K1260" s="8" t="str">
        <x:f>IF(A1260="","",DATE(YEAR(A1260),MONTH(A1260),1))</x:f>
      </x:c>
    </x:row>
    <x:row r="1261">
      <x:c r="A1261" s="9"/>
      <x:c r="B1261" s="7"/>
      <x:c r="C1261" s="7" t="str">
        <x:f>IF(B1261="","",XLOOKUP(B1261,Employees!$A$4:$A$53,Employees!$B$4:$B$53,""))</x:f>
      </x:c>
      <x:c r="D1261" s="7"/>
      <x:c r="E1261" s="10" t="n">
        <x:v>8</x:v>
      </x:c>
      <x:c r="F1261" s="10"/>
      <x:c r="G1261" s="10" t="str">
        <x:f>IF(F1261="","",MIN(F1261,E1261))</x:f>
      </x:c>
      <x:c r="H1261" s="10" t="str">
        <x:f>IF(F1261="","",MAX(0,F1261-E1261))</x:f>
      </x:c>
      <x:c r="I1261" s="24"/>
      <x:c r="J1261" s="7"/>
      <x:c r="K1261" s="8" t="str">
        <x:f>IF(A1261="","",DATE(YEAR(A1261),MONTH(A1261),1))</x:f>
      </x:c>
    </x:row>
    <x:row r="1262">
      <x:c r="A1262" s="9"/>
      <x:c r="B1262" s="7"/>
      <x:c r="C1262" s="7" t="str">
        <x:f>IF(B1262="","",XLOOKUP(B1262,Employees!$A$4:$A$53,Employees!$B$4:$B$53,""))</x:f>
      </x:c>
      <x:c r="D1262" s="7"/>
      <x:c r="E1262" s="10" t="n">
        <x:v>8</x:v>
      </x:c>
      <x:c r="F1262" s="10"/>
      <x:c r="G1262" s="10" t="str">
        <x:f>IF(F1262="","",MIN(F1262,E1262))</x:f>
      </x:c>
      <x:c r="H1262" s="10" t="str">
        <x:f>IF(F1262="","",MAX(0,F1262-E1262))</x:f>
      </x:c>
      <x:c r="I1262" s="24"/>
      <x:c r="J1262" s="7"/>
      <x:c r="K1262" s="8" t="str">
        <x:f>IF(A1262="","",DATE(YEAR(A1262),MONTH(A1262),1))</x:f>
      </x:c>
    </x:row>
    <x:row r="1263">
      <x:c r="A1263" s="9"/>
      <x:c r="B1263" s="7"/>
      <x:c r="C1263" s="7" t="str">
        <x:f>IF(B1263="","",XLOOKUP(B1263,Employees!$A$4:$A$53,Employees!$B$4:$B$53,""))</x:f>
      </x:c>
      <x:c r="D1263" s="7"/>
      <x:c r="E1263" s="10" t="n">
        <x:v>8</x:v>
      </x:c>
      <x:c r="F1263" s="10"/>
      <x:c r="G1263" s="10" t="str">
        <x:f>IF(F1263="","",MIN(F1263,E1263))</x:f>
      </x:c>
      <x:c r="H1263" s="10" t="str">
        <x:f>IF(F1263="","",MAX(0,F1263-E1263))</x:f>
      </x:c>
      <x:c r="I1263" s="24"/>
      <x:c r="J1263" s="7"/>
      <x:c r="K1263" s="8" t="str">
        <x:f>IF(A1263="","",DATE(YEAR(A1263),MONTH(A1263),1))</x:f>
      </x:c>
    </x:row>
    <x:row r="1264">
      <x:c r="A1264" s="9"/>
      <x:c r="B1264" s="7"/>
      <x:c r="C1264" s="7" t="str">
        <x:f>IF(B1264="","",XLOOKUP(B1264,Employees!$A$4:$A$53,Employees!$B$4:$B$53,""))</x:f>
      </x:c>
      <x:c r="D1264" s="7"/>
      <x:c r="E1264" s="10" t="n">
        <x:v>8</x:v>
      </x:c>
      <x:c r="F1264" s="10"/>
      <x:c r="G1264" s="10" t="str">
        <x:f>IF(F1264="","",MIN(F1264,E1264))</x:f>
      </x:c>
      <x:c r="H1264" s="10" t="str">
        <x:f>IF(F1264="","",MAX(0,F1264-E1264))</x:f>
      </x:c>
      <x:c r="I1264" s="24"/>
      <x:c r="J1264" s="7"/>
      <x:c r="K1264" s="8" t="str">
        <x:f>IF(A1264="","",DATE(YEAR(A1264),MONTH(A1264),1))</x:f>
      </x:c>
    </x:row>
    <x:row r="1265">
      <x:c r="A1265" s="9"/>
      <x:c r="B1265" s="7"/>
      <x:c r="C1265" s="7" t="str">
        <x:f>IF(B1265="","",XLOOKUP(B1265,Employees!$A$4:$A$53,Employees!$B$4:$B$53,""))</x:f>
      </x:c>
      <x:c r="D1265" s="7"/>
      <x:c r="E1265" s="10" t="n">
        <x:v>8</x:v>
      </x:c>
      <x:c r="F1265" s="10"/>
      <x:c r="G1265" s="10" t="str">
        <x:f>IF(F1265="","",MIN(F1265,E1265))</x:f>
      </x:c>
      <x:c r="H1265" s="10" t="str">
        <x:f>IF(F1265="","",MAX(0,F1265-E1265))</x:f>
      </x:c>
      <x:c r="I1265" s="24"/>
      <x:c r="J1265" s="7"/>
      <x:c r="K1265" s="8" t="str">
        <x:f>IF(A1265="","",DATE(YEAR(A1265),MONTH(A1265),1))</x:f>
      </x:c>
    </x:row>
    <x:row r="1266">
      <x:c r="A1266" s="9"/>
      <x:c r="B1266" s="7"/>
      <x:c r="C1266" s="7" t="str">
        <x:f>IF(B1266="","",XLOOKUP(B1266,Employees!$A$4:$A$53,Employees!$B$4:$B$53,""))</x:f>
      </x:c>
      <x:c r="D1266" s="7"/>
      <x:c r="E1266" s="10" t="n">
        <x:v>8</x:v>
      </x:c>
      <x:c r="F1266" s="10"/>
      <x:c r="G1266" s="10" t="str">
        <x:f>IF(F1266="","",MIN(F1266,E1266))</x:f>
      </x:c>
      <x:c r="H1266" s="10" t="str">
        <x:f>IF(F1266="","",MAX(0,F1266-E1266))</x:f>
      </x:c>
      <x:c r="I1266" s="24"/>
      <x:c r="J1266" s="7"/>
      <x:c r="K1266" s="8" t="str">
        <x:f>IF(A1266="","",DATE(YEAR(A1266),MONTH(A1266),1))</x:f>
      </x:c>
    </x:row>
    <x:row r="1267">
      <x:c r="A1267" s="9"/>
      <x:c r="B1267" s="7"/>
      <x:c r="C1267" s="7" t="str">
        <x:f>IF(B1267="","",XLOOKUP(B1267,Employees!$A$4:$A$53,Employees!$B$4:$B$53,""))</x:f>
      </x:c>
      <x:c r="D1267" s="7"/>
      <x:c r="E1267" s="10" t="n">
        <x:v>8</x:v>
      </x:c>
      <x:c r="F1267" s="10"/>
      <x:c r="G1267" s="10" t="str">
        <x:f>IF(F1267="","",MIN(F1267,E1267))</x:f>
      </x:c>
      <x:c r="H1267" s="10" t="str">
        <x:f>IF(F1267="","",MAX(0,F1267-E1267))</x:f>
      </x:c>
      <x:c r="I1267" s="24"/>
      <x:c r="J1267" s="7"/>
      <x:c r="K1267" s="8" t="str">
        <x:f>IF(A1267="","",DATE(YEAR(A1267),MONTH(A1267),1))</x:f>
      </x:c>
    </x:row>
    <x:row r="1268">
      <x:c r="A1268" s="9"/>
      <x:c r="B1268" s="7"/>
      <x:c r="C1268" s="7" t="str">
        <x:f>IF(B1268="","",XLOOKUP(B1268,Employees!$A$4:$A$53,Employees!$B$4:$B$53,""))</x:f>
      </x:c>
      <x:c r="D1268" s="7"/>
      <x:c r="E1268" s="10" t="n">
        <x:v>8</x:v>
      </x:c>
      <x:c r="F1268" s="10"/>
      <x:c r="G1268" s="10" t="str">
        <x:f>IF(F1268="","",MIN(F1268,E1268))</x:f>
      </x:c>
      <x:c r="H1268" s="10" t="str">
        <x:f>IF(F1268="","",MAX(0,F1268-E1268))</x:f>
      </x:c>
      <x:c r="I1268" s="24"/>
      <x:c r="J1268" s="7"/>
      <x:c r="K1268" s="8" t="str">
        <x:f>IF(A1268="","",DATE(YEAR(A1268),MONTH(A1268),1))</x:f>
      </x:c>
    </x:row>
    <x:row r="1269">
      <x:c r="A1269" s="9"/>
      <x:c r="B1269" s="7"/>
      <x:c r="C1269" s="7" t="str">
        <x:f>IF(B1269="","",XLOOKUP(B1269,Employees!$A$4:$A$53,Employees!$B$4:$B$53,""))</x:f>
      </x:c>
      <x:c r="D1269" s="7"/>
      <x:c r="E1269" s="10" t="n">
        <x:v>8</x:v>
      </x:c>
      <x:c r="F1269" s="10"/>
      <x:c r="G1269" s="10" t="str">
        <x:f>IF(F1269="","",MIN(F1269,E1269))</x:f>
      </x:c>
      <x:c r="H1269" s="10" t="str">
        <x:f>IF(F1269="","",MAX(0,F1269-E1269))</x:f>
      </x:c>
      <x:c r="I1269" s="24"/>
      <x:c r="J1269" s="7"/>
      <x:c r="K1269" s="8" t="str">
        <x:f>IF(A1269="","",DATE(YEAR(A1269),MONTH(A1269),1))</x:f>
      </x:c>
    </x:row>
    <x:row r="1270">
      <x:c r="A1270" s="9"/>
      <x:c r="B1270" s="7"/>
      <x:c r="C1270" s="7" t="str">
        <x:f>IF(B1270="","",XLOOKUP(B1270,Employees!$A$4:$A$53,Employees!$B$4:$B$53,""))</x:f>
      </x:c>
      <x:c r="D1270" s="7"/>
      <x:c r="E1270" s="10" t="n">
        <x:v>8</x:v>
      </x:c>
      <x:c r="F1270" s="10"/>
      <x:c r="G1270" s="10" t="str">
        <x:f>IF(F1270="","",MIN(F1270,E1270))</x:f>
      </x:c>
      <x:c r="H1270" s="10" t="str">
        <x:f>IF(F1270="","",MAX(0,F1270-E1270))</x:f>
      </x:c>
      <x:c r="I1270" s="24"/>
      <x:c r="J1270" s="7"/>
      <x:c r="K1270" s="8" t="str">
        <x:f>IF(A1270="","",DATE(YEAR(A1270),MONTH(A1270),1))</x:f>
      </x:c>
    </x:row>
    <x:row r="1271">
      <x:c r="A1271" s="9"/>
      <x:c r="B1271" s="7"/>
      <x:c r="C1271" s="7" t="str">
        <x:f>IF(B1271="","",XLOOKUP(B1271,Employees!$A$4:$A$53,Employees!$B$4:$B$53,""))</x:f>
      </x:c>
      <x:c r="D1271" s="7"/>
      <x:c r="E1271" s="10" t="n">
        <x:v>8</x:v>
      </x:c>
      <x:c r="F1271" s="10"/>
      <x:c r="G1271" s="10" t="str">
        <x:f>IF(F1271="","",MIN(F1271,E1271))</x:f>
      </x:c>
      <x:c r="H1271" s="10" t="str">
        <x:f>IF(F1271="","",MAX(0,F1271-E1271))</x:f>
      </x:c>
      <x:c r="I1271" s="24"/>
      <x:c r="J1271" s="7"/>
      <x:c r="K1271" s="8" t="str">
        <x:f>IF(A1271="","",DATE(YEAR(A1271),MONTH(A1271),1))</x:f>
      </x:c>
    </x:row>
    <x:row r="1272">
      <x:c r="A1272" s="9"/>
      <x:c r="B1272" s="7"/>
      <x:c r="C1272" s="7" t="str">
        <x:f>IF(B1272="","",XLOOKUP(B1272,Employees!$A$4:$A$53,Employees!$B$4:$B$53,""))</x:f>
      </x:c>
      <x:c r="D1272" s="7"/>
      <x:c r="E1272" s="10" t="n">
        <x:v>8</x:v>
      </x:c>
      <x:c r="F1272" s="10"/>
      <x:c r="G1272" s="10" t="str">
        <x:f>IF(F1272="","",MIN(F1272,E1272))</x:f>
      </x:c>
      <x:c r="H1272" s="10" t="str">
        <x:f>IF(F1272="","",MAX(0,F1272-E1272))</x:f>
      </x:c>
      <x:c r="I1272" s="24"/>
      <x:c r="J1272" s="7"/>
      <x:c r="K1272" s="8" t="str">
        <x:f>IF(A1272="","",DATE(YEAR(A1272),MONTH(A1272),1))</x:f>
      </x:c>
    </x:row>
    <x:row r="1273">
      <x:c r="A1273" s="9"/>
      <x:c r="B1273" s="7"/>
      <x:c r="C1273" s="7" t="str">
        <x:f>IF(B1273="","",XLOOKUP(B1273,Employees!$A$4:$A$53,Employees!$B$4:$B$53,""))</x:f>
      </x:c>
      <x:c r="D1273" s="7"/>
      <x:c r="E1273" s="10" t="n">
        <x:v>8</x:v>
      </x:c>
      <x:c r="F1273" s="10"/>
      <x:c r="G1273" s="10" t="str">
        <x:f>IF(F1273="","",MIN(F1273,E1273))</x:f>
      </x:c>
      <x:c r="H1273" s="10" t="str">
        <x:f>IF(F1273="","",MAX(0,F1273-E1273))</x:f>
      </x:c>
      <x:c r="I1273" s="24"/>
      <x:c r="J1273" s="7"/>
      <x:c r="K1273" s="8" t="str">
        <x:f>IF(A1273="","",DATE(YEAR(A1273),MONTH(A1273),1))</x:f>
      </x:c>
    </x:row>
    <x:row r="1274">
      <x:c r="A1274" s="9"/>
      <x:c r="B1274" s="7"/>
      <x:c r="C1274" s="7" t="str">
        <x:f>IF(B1274="","",XLOOKUP(B1274,Employees!$A$4:$A$53,Employees!$B$4:$B$53,""))</x:f>
      </x:c>
      <x:c r="D1274" s="7"/>
      <x:c r="E1274" s="10" t="n">
        <x:v>8</x:v>
      </x:c>
      <x:c r="F1274" s="10"/>
      <x:c r="G1274" s="10" t="str">
        <x:f>IF(F1274="","",MIN(F1274,E1274))</x:f>
      </x:c>
      <x:c r="H1274" s="10" t="str">
        <x:f>IF(F1274="","",MAX(0,F1274-E1274))</x:f>
      </x:c>
      <x:c r="I1274" s="24"/>
      <x:c r="J1274" s="7"/>
      <x:c r="K1274" s="8" t="str">
        <x:f>IF(A1274="","",DATE(YEAR(A1274),MONTH(A1274),1))</x:f>
      </x:c>
    </x:row>
    <x:row r="1275">
      <x:c r="A1275" s="9"/>
      <x:c r="B1275" s="7"/>
      <x:c r="C1275" s="7" t="str">
        <x:f>IF(B1275="","",XLOOKUP(B1275,Employees!$A$4:$A$53,Employees!$B$4:$B$53,""))</x:f>
      </x:c>
      <x:c r="D1275" s="7"/>
      <x:c r="E1275" s="10" t="n">
        <x:v>8</x:v>
      </x:c>
      <x:c r="F1275" s="10"/>
      <x:c r="G1275" s="10" t="str">
        <x:f>IF(F1275="","",MIN(F1275,E1275))</x:f>
      </x:c>
      <x:c r="H1275" s="10" t="str">
        <x:f>IF(F1275="","",MAX(0,F1275-E1275))</x:f>
      </x:c>
      <x:c r="I1275" s="24"/>
      <x:c r="J1275" s="7"/>
      <x:c r="K1275" s="8" t="str">
        <x:f>IF(A1275="","",DATE(YEAR(A1275),MONTH(A1275),1))</x:f>
      </x:c>
    </x:row>
    <x:row r="1276">
      <x:c r="A1276" s="9"/>
      <x:c r="B1276" s="7"/>
      <x:c r="C1276" s="7" t="str">
        <x:f>IF(B1276="","",XLOOKUP(B1276,Employees!$A$4:$A$53,Employees!$B$4:$B$53,""))</x:f>
      </x:c>
      <x:c r="D1276" s="7"/>
      <x:c r="E1276" s="10" t="n">
        <x:v>8</x:v>
      </x:c>
      <x:c r="F1276" s="10"/>
      <x:c r="G1276" s="10" t="str">
        <x:f>IF(F1276="","",MIN(F1276,E1276))</x:f>
      </x:c>
      <x:c r="H1276" s="10" t="str">
        <x:f>IF(F1276="","",MAX(0,F1276-E1276))</x:f>
      </x:c>
      <x:c r="I1276" s="24"/>
      <x:c r="J1276" s="7"/>
      <x:c r="K1276" s="8" t="str">
        <x:f>IF(A1276="","",DATE(YEAR(A1276),MONTH(A1276),1))</x:f>
      </x:c>
    </x:row>
    <x:row r="1277">
      <x:c r="A1277" s="9"/>
      <x:c r="B1277" s="7"/>
      <x:c r="C1277" s="7" t="str">
        <x:f>IF(B1277="","",XLOOKUP(B1277,Employees!$A$4:$A$53,Employees!$B$4:$B$53,""))</x:f>
      </x:c>
      <x:c r="D1277" s="7"/>
      <x:c r="E1277" s="10" t="n">
        <x:v>8</x:v>
      </x:c>
      <x:c r="F1277" s="10"/>
      <x:c r="G1277" s="10" t="str">
        <x:f>IF(F1277="","",MIN(F1277,E1277))</x:f>
      </x:c>
      <x:c r="H1277" s="10" t="str">
        <x:f>IF(F1277="","",MAX(0,F1277-E1277))</x:f>
      </x:c>
      <x:c r="I1277" s="24"/>
      <x:c r="J1277" s="7"/>
      <x:c r="K1277" s="8" t="str">
        <x:f>IF(A1277="","",DATE(YEAR(A1277),MONTH(A1277),1))</x:f>
      </x:c>
    </x:row>
    <x:row r="1278">
      <x:c r="A1278" s="9"/>
      <x:c r="B1278" s="7"/>
      <x:c r="C1278" s="7" t="str">
        <x:f>IF(B1278="","",XLOOKUP(B1278,Employees!$A$4:$A$53,Employees!$B$4:$B$53,""))</x:f>
      </x:c>
      <x:c r="D1278" s="7"/>
      <x:c r="E1278" s="10" t="n">
        <x:v>8</x:v>
      </x:c>
      <x:c r="F1278" s="10"/>
      <x:c r="G1278" s="10" t="str">
        <x:f>IF(F1278="","",MIN(F1278,E1278))</x:f>
      </x:c>
      <x:c r="H1278" s="10" t="str">
        <x:f>IF(F1278="","",MAX(0,F1278-E1278))</x:f>
      </x:c>
      <x:c r="I1278" s="24"/>
      <x:c r="J1278" s="7"/>
      <x:c r="K1278" s="8" t="str">
        <x:f>IF(A1278="","",DATE(YEAR(A1278),MONTH(A1278),1))</x:f>
      </x:c>
    </x:row>
    <x:row r="1279">
      <x:c r="A1279" s="9"/>
      <x:c r="B1279" s="7"/>
      <x:c r="C1279" s="7" t="str">
        <x:f>IF(B1279="","",XLOOKUP(B1279,Employees!$A$4:$A$53,Employees!$B$4:$B$53,""))</x:f>
      </x:c>
      <x:c r="D1279" s="7"/>
      <x:c r="E1279" s="10" t="n">
        <x:v>8</x:v>
      </x:c>
      <x:c r="F1279" s="10"/>
      <x:c r="G1279" s="10" t="str">
        <x:f>IF(F1279="","",MIN(F1279,E1279))</x:f>
      </x:c>
      <x:c r="H1279" s="10" t="str">
        <x:f>IF(F1279="","",MAX(0,F1279-E1279))</x:f>
      </x:c>
      <x:c r="I1279" s="24"/>
      <x:c r="J1279" s="7"/>
      <x:c r="K1279" s="8" t="str">
        <x:f>IF(A1279="","",DATE(YEAR(A1279),MONTH(A1279),1))</x:f>
      </x:c>
    </x:row>
    <x:row r="1280">
      <x:c r="A1280" s="9"/>
      <x:c r="B1280" s="7"/>
      <x:c r="C1280" s="7" t="str">
        <x:f>IF(B1280="","",XLOOKUP(B1280,Employees!$A$4:$A$53,Employees!$B$4:$B$53,""))</x:f>
      </x:c>
      <x:c r="D1280" s="7"/>
      <x:c r="E1280" s="10" t="n">
        <x:v>8</x:v>
      </x:c>
      <x:c r="F1280" s="10"/>
      <x:c r="G1280" s="10" t="str">
        <x:f>IF(F1280="","",MIN(F1280,E1280))</x:f>
      </x:c>
      <x:c r="H1280" s="10" t="str">
        <x:f>IF(F1280="","",MAX(0,F1280-E1280))</x:f>
      </x:c>
      <x:c r="I1280" s="24"/>
      <x:c r="J1280" s="7"/>
      <x:c r="K1280" s="8" t="str">
        <x:f>IF(A1280="","",DATE(YEAR(A1280),MONTH(A1280),1))</x:f>
      </x:c>
    </x:row>
    <x:row r="1281">
      <x:c r="A1281" s="9"/>
      <x:c r="B1281" s="7"/>
      <x:c r="C1281" s="7" t="str">
        <x:f>IF(B1281="","",XLOOKUP(B1281,Employees!$A$4:$A$53,Employees!$B$4:$B$53,""))</x:f>
      </x:c>
      <x:c r="D1281" s="7"/>
      <x:c r="E1281" s="10" t="n">
        <x:v>8</x:v>
      </x:c>
      <x:c r="F1281" s="10"/>
      <x:c r="G1281" s="10" t="str">
        <x:f>IF(F1281="","",MIN(F1281,E1281))</x:f>
      </x:c>
      <x:c r="H1281" s="10" t="str">
        <x:f>IF(F1281="","",MAX(0,F1281-E1281))</x:f>
      </x:c>
      <x:c r="I1281" s="24"/>
      <x:c r="J1281" s="7"/>
      <x:c r="K1281" s="8" t="str">
        <x:f>IF(A1281="","",DATE(YEAR(A1281),MONTH(A1281),1))</x:f>
      </x:c>
    </x:row>
    <x:row r="1282">
      <x:c r="A1282" s="9"/>
      <x:c r="B1282" s="7"/>
      <x:c r="C1282" s="7" t="str">
        <x:f>IF(B1282="","",XLOOKUP(B1282,Employees!$A$4:$A$53,Employees!$B$4:$B$53,""))</x:f>
      </x:c>
      <x:c r="D1282" s="7"/>
      <x:c r="E1282" s="10" t="n">
        <x:v>8</x:v>
      </x:c>
      <x:c r="F1282" s="10"/>
      <x:c r="G1282" s="10" t="str">
        <x:f>IF(F1282="","",MIN(F1282,E1282))</x:f>
      </x:c>
      <x:c r="H1282" s="10" t="str">
        <x:f>IF(F1282="","",MAX(0,F1282-E1282))</x:f>
      </x:c>
      <x:c r="I1282" s="24"/>
      <x:c r="J1282" s="7"/>
      <x:c r="K1282" s="8" t="str">
        <x:f>IF(A1282="","",DATE(YEAR(A1282),MONTH(A1282),1))</x:f>
      </x:c>
    </x:row>
    <x:row r="1283">
      <x:c r="A1283" s="9"/>
      <x:c r="B1283" s="7"/>
      <x:c r="C1283" s="7" t="str">
        <x:f>IF(B1283="","",XLOOKUP(B1283,Employees!$A$4:$A$53,Employees!$B$4:$B$53,""))</x:f>
      </x:c>
      <x:c r="D1283" s="7"/>
      <x:c r="E1283" s="10" t="n">
        <x:v>8</x:v>
      </x:c>
      <x:c r="F1283" s="10"/>
      <x:c r="G1283" s="10" t="str">
        <x:f>IF(F1283="","",MIN(F1283,E1283))</x:f>
      </x:c>
      <x:c r="H1283" s="10" t="str">
        <x:f>IF(F1283="","",MAX(0,F1283-E1283))</x:f>
      </x:c>
      <x:c r="I1283" s="24"/>
      <x:c r="J1283" s="7"/>
      <x:c r="K1283" s="8" t="str">
        <x:f>IF(A1283="","",DATE(YEAR(A1283),MONTH(A1283),1))</x:f>
      </x:c>
    </x:row>
    <x:row r="1284">
      <x:c r="A1284" s="9"/>
      <x:c r="B1284" s="7"/>
      <x:c r="C1284" s="7" t="str">
        <x:f>IF(B1284="","",XLOOKUP(B1284,Employees!$A$4:$A$53,Employees!$B$4:$B$53,""))</x:f>
      </x:c>
      <x:c r="D1284" s="7"/>
      <x:c r="E1284" s="10" t="n">
        <x:v>8</x:v>
      </x:c>
      <x:c r="F1284" s="10"/>
      <x:c r="G1284" s="10" t="str">
        <x:f>IF(F1284="","",MIN(F1284,E1284))</x:f>
      </x:c>
      <x:c r="H1284" s="10" t="str">
        <x:f>IF(F1284="","",MAX(0,F1284-E1284))</x:f>
      </x:c>
      <x:c r="I1284" s="24"/>
      <x:c r="J1284" s="7"/>
      <x:c r="K1284" s="8" t="str">
        <x:f>IF(A1284="","",DATE(YEAR(A1284),MONTH(A1284),1))</x:f>
      </x:c>
    </x:row>
    <x:row r="1285">
      <x:c r="A1285" s="9"/>
      <x:c r="B1285" s="7"/>
      <x:c r="C1285" s="7" t="str">
        <x:f>IF(B1285="","",XLOOKUP(B1285,Employees!$A$4:$A$53,Employees!$B$4:$B$53,""))</x:f>
      </x:c>
      <x:c r="D1285" s="7"/>
      <x:c r="E1285" s="10" t="n">
        <x:v>8</x:v>
      </x:c>
      <x:c r="F1285" s="10"/>
      <x:c r="G1285" s="10" t="str">
        <x:f>IF(F1285="","",MIN(F1285,E1285))</x:f>
      </x:c>
      <x:c r="H1285" s="10" t="str">
        <x:f>IF(F1285="","",MAX(0,F1285-E1285))</x:f>
      </x:c>
      <x:c r="I1285" s="24"/>
      <x:c r="J1285" s="7"/>
      <x:c r="K1285" s="8" t="str">
        <x:f>IF(A1285="","",DATE(YEAR(A1285),MONTH(A1285),1))</x:f>
      </x:c>
    </x:row>
    <x:row r="1286">
      <x:c r="A1286" s="9"/>
      <x:c r="B1286" s="7"/>
      <x:c r="C1286" s="7" t="str">
        <x:f>IF(B1286="","",XLOOKUP(B1286,Employees!$A$4:$A$53,Employees!$B$4:$B$53,""))</x:f>
      </x:c>
      <x:c r="D1286" s="7"/>
      <x:c r="E1286" s="10" t="n">
        <x:v>8</x:v>
      </x:c>
      <x:c r="F1286" s="10"/>
      <x:c r="G1286" s="10" t="str">
        <x:f>IF(F1286="","",MIN(F1286,E1286))</x:f>
      </x:c>
      <x:c r="H1286" s="10" t="str">
        <x:f>IF(F1286="","",MAX(0,F1286-E1286))</x:f>
      </x:c>
      <x:c r="I1286" s="24"/>
      <x:c r="J1286" s="7"/>
      <x:c r="K1286" s="8" t="str">
        <x:f>IF(A1286="","",DATE(YEAR(A1286),MONTH(A1286),1))</x:f>
      </x:c>
    </x:row>
    <x:row r="1287">
      <x:c r="A1287" s="9"/>
      <x:c r="B1287" s="7"/>
      <x:c r="C1287" s="7" t="str">
        <x:f>IF(B1287="","",XLOOKUP(B1287,Employees!$A$4:$A$53,Employees!$B$4:$B$53,""))</x:f>
      </x:c>
      <x:c r="D1287" s="7"/>
      <x:c r="E1287" s="10" t="n">
        <x:v>8</x:v>
      </x:c>
      <x:c r="F1287" s="10"/>
      <x:c r="G1287" s="10" t="str">
        <x:f>IF(F1287="","",MIN(F1287,E1287))</x:f>
      </x:c>
      <x:c r="H1287" s="10" t="str">
        <x:f>IF(F1287="","",MAX(0,F1287-E1287))</x:f>
      </x:c>
      <x:c r="I1287" s="24"/>
      <x:c r="J1287" s="7"/>
      <x:c r="K1287" s="8" t="str">
        <x:f>IF(A1287="","",DATE(YEAR(A1287),MONTH(A1287),1))</x:f>
      </x:c>
    </x:row>
    <x:row r="1288">
      <x:c r="A1288" s="9"/>
      <x:c r="B1288" s="7"/>
      <x:c r="C1288" s="7" t="str">
        <x:f>IF(B1288="","",XLOOKUP(B1288,Employees!$A$4:$A$53,Employees!$B$4:$B$53,""))</x:f>
      </x:c>
      <x:c r="D1288" s="7"/>
      <x:c r="E1288" s="10" t="n">
        <x:v>8</x:v>
      </x:c>
      <x:c r="F1288" s="10"/>
      <x:c r="G1288" s="10" t="str">
        <x:f>IF(F1288="","",MIN(F1288,E1288))</x:f>
      </x:c>
      <x:c r="H1288" s="10" t="str">
        <x:f>IF(F1288="","",MAX(0,F1288-E1288))</x:f>
      </x:c>
      <x:c r="I1288" s="24"/>
      <x:c r="J1288" s="7"/>
      <x:c r="K1288" s="8" t="str">
        <x:f>IF(A1288="","",DATE(YEAR(A1288),MONTH(A1288),1))</x:f>
      </x:c>
    </x:row>
    <x:row r="1289">
      <x:c r="A1289" s="9"/>
      <x:c r="B1289" s="7"/>
      <x:c r="C1289" s="7" t="str">
        <x:f>IF(B1289="","",XLOOKUP(B1289,Employees!$A$4:$A$53,Employees!$B$4:$B$53,""))</x:f>
      </x:c>
      <x:c r="D1289" s="7"/>
      <x:c r="E1289" s="10" t="n">
        <x:v>8</x:v>
      </x:c>
      <x:c r="F1289" s="10"/>
      <x:c r="G1289" s="10" t="str">
        <x:f>IF(F1289="","",MIN(F1289,E1289))</x:f>
      </x:c>
      <x:c r="H1289" s="10" t="str">
        <x:f>IF(F1289="","",MAX(0,F1289-E1289))</x:f>
      </x:c>
      <x:c r="I1289" s="24"/>
      <x:c r="J1289" s="7"/>
      <x:c r="K1289" s="8" t="str">
        <x:f>IF(A1289="","",DATE(YEAR(A1289),MONTH(A1289),1))</x:f>
      </x:c>
    </x:row>
    <x:row r="1290">
      <x:c r="A1290" s="9"/>
      <x:c r="B1290" s="7"/>
      <x:c r="C1290" s="7" t="str">
        <x:f>IF(B1290="","",XLOOKUP(B1290,Employees!$A$4:$A$53,Employees!$B$4:$B$53,""))</x:f>
      </x:c>
      <x:c r="D1290" s="7"/>
      <x:c r="E1290" s="10" t="n">
        <x:v>8</x:v>
      </x:c>
      <x:c r="F1290" s="10"/>
      <x:c r="G1290" s="10" t="str">
        <x:f>IF(F1290="","",MIN(F1290,E1290))</x:f>
      </x:c>
      <x:c r="H1290" s="10" t="str">
        <x:f>IF(F1290="","",MAX(0,F1290-E1290))</x:f>
      </x:c>
      <x:c r="I1290" s="24"/>
      <x:c r="J1290" s="7"/>
      <x:c r="K1290" s="8" t="str">
        <x:f>IF(A1290="","",DATE(YEAR(A1290),MONTH(A1290),1))</x:f>
      </x:c>
    </x:row>
    <x:row r="1291">
      <x:c r="A1291" s="9"/>
      <x:c r="B1291" s="7"/>
      <x:c r="C1291" s="7" t="str">
        <x:f>IF(B1291="","",XLOOKUP(B1291,Employees!$A$4:$A$53,Employees!$B$4:$B$53,""))</x:f>
      </x:c>
      <x:c r="D1291" s="7"/>
      <x:c r="E1291" s="10" t="n">
        <x:v>8</x:v>
      </x:c>
      <x:c r="F1291" s="10"/>
      <x:c r="G1291" s="10" t="str">
        <x:f>IF(F1291="","",MIN(F1291,E1291))</x:f>
      </x:c>
      <x:c r="H1291" s="10" t="str">
        <x:f>IF(F1291="","",MAX(0,F1291-E1291))</x:f>
      </x:c>
      <x:c r="I1291" s="24"/>
      <x:c r="J1291" s="7"/>
      <x:c r="K1291" s="8" t="str">
        <x:f>IF(A1291="","",DATE(YEAR(A1291),MONTH(A1291),1))</x:f>
      </x:c>
    </x:row>
    <x:row r="1292">
      <x:c r="A1292" s="9"/>
      <x:c r="B1292" s="7"/>
      <x:c r="C1292" s="7" t="str">
        <x:f>IF(B1292="","",XLOOKUP(B1292,Employees!$A$4:$A$53,Employees!$B$4:$B$53,""))</x:f>
      </x:c>
      <x:c r="D1292" s="7"/>
      <x:c r="E1292" s="10" t="n">
        <x:v>8</x:v>
      </x:c>
      <x:c r="F1292" s="10"/>
      <x:c r="G1292" s="10" t="str">
        <x:f>IF(F1292="","",MIN(F1292,E1292))</x:f>
      </x:c>
      <x:c r="H1292" s="10" t="str">
        <x:f>IF(F1292="","",MAX(0,F1292-E1292))</x:f>
      </x:c>
      <x:c r="I1292" s="24"/>
      <x:c r="J1292" s="7"/>
      <x:c r="K1292" s="8" t="str">
        <x:f>IF(A1292="","",DATE(YEAR(A1292),MONTH(A1292),1))</x:f>
      </x:c>
    </x:row>
    <x:row r="1293">
      <x:c r="A1293" s="9"/>
      <x:c r="B1293" s="7"/>
      <x:c r="C1293" s="7" t="str">
        <x:f>IF(B1293="","",XLOOKUP(B1293,Employees!$A$4:$A$53,Employees!$B$4:$B$53,""))</x:f>
      </x:c>
      <x:c r="D1293" s="7"/>
      <x:c r="E1293" s="10" t="n">
        <x:v>8</x:v>
      </x:c>
      <x:c r="F1293" s="10"/>
      <x:c r="G1293" s="10" t="str">
        <x:f>IF(F1293="","",MIN(F1293,E1293))</x:f>
      </x:c>
      <x:c r="H1293" s="10" t="str">
        <x:f>IF(F1293="","",MAX(0,F1293-E1293))</x:f>
      </x:c>
      <x:c r="I1293" s="24"/>
      <x:c r="J1293" s="7"/>
      <x:c r="K1293" s="8" t="str">
        <x:f>IF(A1293="","",DATE(YEAR(A1293),MONTH(A1293),1))</x:f>
      </x:c>
    </x:row>
    <x:row r="1294">
      <x:c r="A1294" s="9"/>
      <x:c r="B1294" s="7"/>
      <x:c r="C1294" s="7" t="str">
        <x:f>IF(B1294="","",XLOOKUP(B1294,Employees!$A$4:$A$53,Employees!$B$4:$B$53,""))</x:f>
      </x:c>
      <x:c r="D1294" s="7"/>
      <x:c r="E1294" s="10" t="n">
        <x:v>8</x:v>
      </x:c>
      <x:c r="F1294" s="10"/>
      <x:c r="G1294" s="10" t="str">
        <x:f>IF(F1294="","",MIN(F1294,E1294))</x:f>
      </x:c>
      <x:c r="H1294" s="10" t="str">
        <x:f>IF(F1294="","",MAX(0,F1294-E1294))</x:f>
      </x:c>
      <x:c r="I1294" s="24"/>
      <x:c r="J1294" s="7"/>
      <x:c r="K1294" s="8" t="str">
        <x:f>IF(A1294="","",DATE(YEAR(A1294),MONTH(A1294),1))</x:f>
      </x:c>
    </x:row>
    <x:row r="1295">
      <x:c r="A1295" s="9"/>
      <x:c r="B1295" s="7"/>
      <x:c r="C1295" s="7" t="str">
        <x:f>IF(B1295="","",XLOOKUP(B1295,Employees!$A$4:$A$53,Employees!$B$4:$B$53,""))</x:f>
      </x:c>
      <x:c r="D1295" s="7"/>
      <x:c r="E1295" s="10" t="n">
        <x:v>8</x:v>
      </x:c>
      <x:c r="F1295" s="10"/>
      <x:c r="G1295" s="10" t="str">
        <x:f>IF(F1295="","",MIN(F1295,E1295))</x:f>
      </x:c>
      <x:c r="H1295" s="10" t="str">
        <x:f>IF(F1295="","",MAX(0,F1295-E1295))</x:f>
      </x:c>
      <x:c r="I1295" s="24"/>
      <x:c r="J1295" s="7"/>
      <x:c r="K1295" s="8" t="str">
        <x:f>IF(A1295="","",DATE(YEAR(A1295),MONTH(A1295),1))</x:f>
      </x:c>
    </x:row>
    <x:row r="1296">
      <x:c r="A1296" s="9"/>
      <x:c r="B1296" s="7"/>
      <x:c r="C1296" s="7" t="str">
        <x:f>IF(B1296="","",XLOOKUP(B1296,Employees!$A$4:$A$53,Employees!$B$4:$B$53,""))</x:f>
      </x:c>
      <x:c r="D1296" s="7"/>
      <x:c r="E1296" s="10" t="n">
        <x:v>8</x:v>
      </x:c>
      <x:c r="F1296" s="10"/>
      <x:c r="G1296" s="10" t="str">
        <x:f>IF(F1296="","",MIN(F1296,E1296))</x:f>
      </x:c>
      <x:c r="H1296" s="10" t="str">
        <x:f>IF(F1296="","",MAX(0,F1296-E1296))</x:f>
      </x:c>
      <x:c r="I1296" s="24"/>
      <x:c r="J1296" s="7"/>
      <x:c r="K1296" s="8" t="str">
        <x:f>IF(A1296="","",DATE(YEAR(A1296),MONTH(A1296),1))</x:f>
      </x:c>
    </x:row>
    <x:row r="1297">
      <x:c r="A1297" s="9"/>
      <x:c r="B1297" s="7"/>
      <x:c r="C1297" s="7" t="str">
        <x:f>IF(B1297="","",XLOOKUP(B1297,Employees!$A$4:$A$53,Employees!$B$4:$B$53,""))</x:f>
      </x:c>
      <x:c r="D1297" s="7"/>
      <x:c r="E1297" s="10" t="n">
        <x:v>8</x:v>
      </x:c>
      <x:c r="F1297" s="10"/>
      <x:c r="G1297" s="10" t="str">
        <x:f>IF(F1297="","",MIN(F1297,E1297))</x:f>
      </x:c>
      <x:c r="H1297" s="10" t="str">
        <x:f>IF(F1297="","",MAX(0,F1297-E1297))</x:f>
      </x:c>
      <x:c r="I1297" s="24"/>
      <x:c r="J1297" s="7"/>
      <x:c r="K1297" s="8" t="str">
        <x:f>IF(A1297="","",DATE(YEAR(A1297),MONTH(A1297),1))</x:f>
      </x:c>
    </x:row>
    <x:row r="1298">
      <x:c r="A1298" s="9"/>
      <x:c r="B1298" s="7"/>
      <x:c r="C1298" s="7" t="str">
        <x:f>IF(B1298="","",XLOOKUP(B1298,Employees!$A$4:$A$53,Employees!$B$4:$B$53,""))</x:f>
      </x:c>
      <x:c r="D1298" s="7"/>
      <x:c r="E1298" s="10" t="n">
        <x:v>8</x:v>
      </x:c>
      <x:c r="F1298" s="10"/>
      <x:c r="G1298" s="10" t="str">
        <x:f>IF(F1298="","",MIN(F1298,E1298))</x:f>
      </x:c>
      <x:c r="H1298" s="10" t="str">
        <x:f>IF(F1298="","",MAX(0,F1298-E1298))</x:f>
      </x:c>
      <x:c r="I1298" s="24"/>
      <x:c r="J1298" s="7"/>
      <x:c r="K1298" s="8" t="str">
        <x:f>IF(A1298="","",DATE(YEAR(A1298),MONTH(A1298),1))</x:f>
      </x:c>
    </x:row>
    <x:row r="1299">
      <x:c r="A1299" s="9"/>
      <x:c r="B1299" s="7"/>
      <x:c r="C1299" s="7" t="str">
        <x:f>IF(B1299="","",XLOOKUP(B1299,Employees!$A$4:$A$53,Employees!$B$4:$B$53,""))</x:f>
      </x:c>
      <x:c r="D1299" s="7"/>
      <x:c r="E1299" s="10" t="n">
        <x:v>8</x:v>
      </x:c>
      <x:c r="F1299" s="10"/>
      <x:c r="G1299" s="10" t="str">
        <x:f>IF(F1299="","",MIN(F1299,E1299))</x:f>
      </x:c>
      <x:c r="H1299" s="10" t="str">
        <x:f>IF(F1299="","",MAX(0,F1299-E1299))</x:f>
      </x:c>
      <x:c r="I1299" s="24"/>
      <x:c r="J1299" s="7"/>
      <x:c r="K1299" s="8" t="str">
        <x:f>IF(A1299="","",DATE(YEAR(A1299),MONTH(A1299),1))</x:f>
      </x:c>
    </x:row>
    <x:row r="1300">
      <x:c r="A1300" s="9"/>
      <x:c r="B1300" s="7"/>
      <x:c r="C1300" s="7" t="str">
        <x:f>IF(B1300="","",XLOOKUP(B1300,Employees!$A$4:$A$53,Employees!$B$4:$B$53,""))</x:f>
      </x:c>
      <x:c r="D1300" s="7"/>
      <x:c r="E1300" s="10" t="n">
        <x:v>8</x:v>
      </x:c>
      <x:c r="F1300" s="10"/>
      <x:c r="G1300" s="10" t="str">
        <x:f>IF(F1300="","",MIN(F1300,E1300))</x:f>
      </x:c>
      <x:c r="H1300" s="10" t="str">
        <x:f>IF(F1300="","",MAX(0,F1300-E1300))</x:f>
      </x:c>
      <x:c r="I1300" s="24"/>
      <x:c r="J1300" s="7"/>
      <x:c r="K1300" s="8" t="str">
        <x:f>IF(A1300="","",DATE(YEAR(A1300),MONTH(A1300),1))</x:f>
      </x:c>
    </x:row>
    <x:row r="1301">
      <x:c r="A1301" s="9"/>
      <x:c r="B1301" s="7"/>
      <x:c r="C1301" s="7" t="str">
        <x:f>IF(B1301="","",XLOOKUP(B1301,Employees!$A$4:$A$53,Employees!$B$4:$B$53,""))</x:f>
      </x:c>
      <x:c r="D1301" s="7"/>
      <x:c r="E1301" s="10" t="n">
        <x:v>8</x:v>
      </x:c>
      <x:c r="F1301" s="10"/>
      <x:c r="G1301" s="10" t="str">
        <x:f>IF(F1301="","",MIN(F1301,E1301))</x:f>
      </x:c>
      <x:c r="H1301" s="10" t="str">
        <x:f>IF(F1301="","",MAX(0,F1301-E1301))</x:f>
      </x:c>
      <x:c r="I1301" s="24"/>
      <x:c r="J1301" s="7"/>
      <x:c r="K1301" s="8" t="str">
        <x:f>IF(A1301="","",DATE(YEAR(A1301),MONTH(A1301),1))</x:f>
      </x:c>
    </x:row>
    <x:row r="1302">
      <x:c r="A1302" s="9"/>
      <x:c r="B1302" s="7"/>
      <x:c r="C1302" s="7" t="str">
        <x:f>IF(B1302="","",XLOOKUP(B1302,Employees!$A$4:$A$53,Employees!$B$4:$B$53,""))</x:f>
      </x:c>
      <x:c r="D1302" s="7"/>
      <x:c r="E1302" s="10" t="n">
        <x:v>8</x:v>
      </x:c>
      <x:c r="F1302" s="10"/>
      <x:c r="G1302" s="10" t="str">
        <x:f>IF(F1302="","",MIN(F1302,E1302))</x:f>
      </x:c>
      <x:c r="H1302" s="10" t="str">
        <x:f>IF(F1302="","",MAX(0,F1302-E1302))</x:f>
      </x:c>
      <x:c r="I1302" s="24"/>
      <x:c r="J1302" s="7"/>
      <x:c r="K1302" s="8" t="str">
        <x:f>IF(A1302="","",DATE(YEAR(A1302),MONTH(A1302),1))</x:f>
      </x:c>
    </x:row>
    <x:row r="1303">
      <x:c r="A1303" s="9"/>
      <x:c r="B1303" s="7"/>
      <x:c r="C1303" s="7" t="str">
        <x:f>IF(B1303="","",XLOOKUP(B1303,Employees!$A$4:$A$53,Employees!$B$4:$B$53,""))</x:f>
      </x:c>
      <x:c r="D1303" s="7"/>
      <x:c r="E1303" s="10" t="n">
        <x:v>8</x:v>
      </x:c>
      <x:c r="F1303" s="10"/>
      <x:c r="G1303" s="10" t="str">
        <x:f>IF(F1303="","",MIN(F1303,E1303))</x:f>
      </x:c>
      <x:c r="H1303" s="10" t="str">
        <x:f>IF(F1303="","",MAX(0,F1303-E1303))</x:f>
      </x:c>
      <x:c r="I1303" s="24"/>
      <x:c r="J1303" s="7"/>
      <x:c r="K1303" s="8" t="str">
        <x:f>IF(A1303="","",DATE(YEAR(A1303),MONTH(A1303),1))</x:f>
      </x:c>
    </x:row>
    <x:row r="1304">
      <x:c r="A1304" s="9"/>
      <x:c r="B1304" s="7"/>
      <x:c r="C1304" s="7" t="str">
        <x:f>IF(B1304="","",XLOOKUP(B1304,Employees!$A$4:$A$53,Employees!$B$4:$B$53,""))</x:f>
      </x:c>
      <x:c r="D1304" s="7"/>
      <x:c r="E1304" s="10" t="n">
        <x:v>8</x:v>
      </x:c>
      <x:c r="F1304" s="10"/>
      <x:c r="G1304" s="10" t="str">
        <x:f>IF(F1304="","",MIN(F1304,E1304))</x:f>
      </x:c>
      <x:c r="H1304" s="10" t="str">
        <x:f>IF(F1304="","",MAX(0,F1304-E1304))</x:f>
      </x:c>
      <x:c r="I1304" s="24"/>
      <x:c r="J1304" s="7"/>
      <x:c r="K1304" s="8" t="str">
        <x:f>IF(A1304="","",DATE(YEAR(A1304),MONTH(A1304),1))</x:f>
      </x:c>
    </x:row>
    <x:row r="1305">
      <x:c r="A1305" s="9"/>
      <x:c r="B1305" s="7"/>
      <x:c r="C1305" s="7" t="str">
        <x:f>IF(B1305="","",XLOOKUP(B1305,Employees!$A$4:$A$53,Employees!$B$4:$B$53,""))</x:f>
      </x:c>
      <x:c r="D1305" s="7"/>
      <x:c r="E1305" s="10" t="n">
        <x:v>8</x:v>
      </x:c>
      <x:c r="F1305" s="10"/>
      <x:c r="G1305" s="10" t="str">
        <x:f>IF(F1305="","",MIN(F1305,E1305))</x:f>
      </x:c>
      <x:c r="H1305" s="10" t="str">
        <x:f>IF(F1305="","",MAX(0,F1305-E1305))</x:f>
      </x:c>
      <x:c r="I1305" s="24"/>
      <x:c r="J1305" s="7"/>
      <x:c r="K1305" s="8" t="str">
        <x:f>IF(A1305="","",DATE(YEAR(A1305),MONTH(A1305),1))</x:f>
      </x:c>
    </x:row>
    <x:row r="1306">
      <x:c r="A1306" s="9"/>
      <x:c r="B1306" s="7"/>
      <x:c r="C1306" s="7" t="str">
        <x:f>IF(B1306="","",XLOOKUP(B1306,Employees!$A$4:$A$53,Employees!$B$4:$B$53,""))</x:f>
      </x:c>
      <x:c r="D1306" s="7"/>
      <x:c r="E1306" s="10" t="n">
        <x:v>8</x:v>
      </x:c>
      <x:c r="F1306" s="10"/>
      <x:c r="G1306" s="10" t="str">
        <x:f>IF(F1306="","",MIN(F1306,E1306))</x:f>
      </x:c>
      <x:c r="H1306" s="10" t="str">
        <x:f>IF(F1306="","",MAX(0,F1306-E1306))</x:f>
      </x:c>
      <x:c r="I1306" s="24"/>
      <x:c r="J1306" s="7"/>
      <x:c r="K1306" s="8" t="str">
        <x:f>IF(A1306="","",DATE(YEAR(A1306),MONTH(A1306),1))</x:f>
      </x:c>
    </x:row>
    <x:row r="1307">
      <x:c r="A1307" s="9"/>
      <x:c r="B1307" s="7"/>
      <x:c r="C1307" s="7" t="str">
        <x:f>IF(B1307="","",XLOOKUP(B1307,Employees!$A$4:$A$53,Employees!$B$4:$B$53,""))</x:f>
      </x:c>
      <x:c r="D1307" s="7"/>
      <x:c r="E1307" s="10" t="n">
        <x:v>8</x:v>
      </x:c>
      <x:c r="F1307" s="10"/>
      <x:c r="G1307" s="10" t="str">
        <x:f>IF(F1307="","",MIN(F1307,E1307))</x:f>
      </x:c>
      <x:c r="H1307" s="10" t="str">
        <x:f>IF(F1307="","",MAX(0,F1307-E1307))</x:f>
      </x:c>
      <x:c r="I1307" s="24"/>
      <x:c r="J1307" s="7"/>
      <x:c r="K1307" s="8" t="str">
        <x:f>IF(A1307="","",DATE(YEAR(A1307),MONTH(A1307),1))</x:f>
      </x:c>
    </x:row>
    <x:row r="1308">
      <x:c r="A1308" s="9"/>
      <x:c r="B1308" s="7"/>
      <x:c r="C1308" s="7" t="str">
        <x:f>IF(B1308="","",XLOOKUP(B1308,Employees!$A$4:$A$53,Employees!$B$4:$B$53,""))</x:f>
      </x:c>
      <x:c r="D1308" s="7"/>
      <x:c r="E1308" s="10" t="n">
        <x:v>8</x:v>
      </x:c>
      <x:c r="F1308" s="10"/>
      <x:c r="G1308" s="10" t="str">
        <x:f>IF(F1308="","",MIN(F1308,E1308))</x:f>
      </x:c>
      <x:c r="H1308" s="10" t="str">
        <x:f>IF(F1308="","",MAX(0,F1308-E1308))</x:f>
      </x:c>
      <x:c r="I1308" s="24"/>
      <x:c r="J1308" s="7"/>
      <x:c r="K1308" s="8" t="str">
        <x:f>IF(A1308="","",DATE(YEAR(A1308),MONTH(A1308),1))</x:f>
      </x:c>
    </x:row>
    <x:row r="1309">
      <x:c r="A1309" s="9"/>
      <x:c r="B1309" s="7"/>
      <x:c r="C1309" s="7" t="str">
        <x:f>IF(B1309="","",XLOOKUP(B1309,Employees!$A$4:$A$53,Employees!$B$4:$B$53,""))</x:f>
      </x:c>
      <x:c r="D1309" s="7"/>
      <x:c r="E1309" s="10" t="n">
        <x:v>8</x:v>
      </x:c>
      <x:c r="F1309" s="10"/>
      <x:c r="G1309" s="10" t="str">
        <x:f>IF(F1309="","",MIN(F1309,E1309))</x:f>
      </x:c>
      <x:c r="H1309" s="10" t="str">
        <x:f>IF(F1309="","",MAX(0,F1309-E1309))</x:f>
      </x:c>
      <x:c r="I1309" s="24"/>
      <x:c r="J1309" s="7"/>
      <x:c r="K1309" s="8" t="str">
        <x:f>IF(A1309="","",DATE(YEAR(A1309),MONTH(A1309),1))</x:f>
      </x:c>
    </x:row>
    <x:row r="1310">
      <x:c r="A1310" s="9"/>
      <x:c r="B1310" s="7"/>
      <x:c r="C1310" s="7" t="str">
        <x:f>IF(B1310="","",XLOOKUP(B1310,Employees!$A$4:$A$53,Employees!$B$4:$B$53,""))</x:f>
      </x:c>
      <x:c r="D1310" s="7"/>
      <x:c r="E1310" s="10" t="n">
        <x:v>8</x:v>
      </x:c>
      <x:c r="F1310" s="10"/>
      <x:c r="G1310" s="10" t="str">
        <x:f>IF(F1310="","",MIN(F1310,E1310))</x:f>
      </x:c>
      <x:c r="H1310" s="10" t="str">
        <x:f>IF(F1310="","",MAX(0,F1310-E1310))</x:f>
      </x:c>
      <x:c r="I1310" s="24"/>
      <x:c r="J1310" s="7"/>
      <x:c r="K1310" s="8" t="str">
        <x:f>IF(A1310="","",DATE(YEAR(A1310),MONTH(A1310),1))</x:f>
      </x:c>
    </x:row>
    <x:row r="1311">
      <x:c r="A1311" s="9"/>
      <x:c r="B1311" s="7"/>
      <x:c r="C1311" s="7" t="str">
        <x:f>IF(B1311="","",XLOOKUP(B1311,Employees!$A$4:$A$53,Employees!$B$4:$B$53,""))</x:f>
      </x:c>
      <x:c r="D1311" s="7"/>
      <x:c r="E1311" s="10" t="n">
        <x:v>8</x:v>
      </x:c>
      <x:c r="F1311" s="10"/>
      <x:c r="G1311" s="10" t="str">
        <x:f>IF(F1311="","",MIN(F1311,E1311))</x:f>
      </x:c>
      <x:c r="H1311" s="10" t="str">
        <x:f>IF(F1311="","",MAX(0,F1311-E1311))</x:f>
      </x:c>
      <x:c r="I1311" s="24"/>
      <x:c r="J1311" s="7"/>
      <x:c r="K1311" s="8" t="str">
        <x:f>IF(A1311="","",DATE(YEAR(A1311),MONTH(A1311),1))</x:f>
      </x:c>
    </x:row>
    <x:row r="1312">
      <x:c r="A1312" s="9"/>
      <x:c r="B1312" s="7"/>
      <x:c r="C1312" s="7" t="str">
        <x:f>IF(B1312="","",XLOOKUP(B1312,Employees!$A$4:$A$53,Employees!$B$4:$B$53,""))</x:f>
      </x:c>
      <x:c r="D1312" s="7"/>
      <x:c r="E1312" s="10" t="n">
        <x:v>8</x:v>
      </x:c>
      <x:c r="F1312" s="10"/>
      <x:c r="G1312" s="10" t="str">
        <x:f>IF(F1312="","",MIN(F1312,E1312))</x:f>
      </x:c>
      <x:c r="H1312" s="10" t="str">
        <x:f>IF(F1312="","",MAX(0,F1312-E1312))</x:f>
      </x:c>
      <x:c r="I1312" s="24"/>
      <x:c r="J1312" s="7"/>
      <x:c r="K1312" s="8" t="str">
        <x:f>IF(A1312="","",DATE(YEAR(A1312),MONTH(A1312),1))</x:f>
      </x:c>
    </x:row>
    <x:row r="1313">
      <x:c r="A1313" s="9"/>
      <x:c r="B1313" s="7"/>
      <x:c r="C1313" s="7" t="str">
        <x:f>IF(B1313="","",XLOOKUP(B1313,Employees!$A$4:$A$53,Employees!$B$4:$B$53,""))</x:f>
      </x:c>
      <x:c r="D1313" s="7"/>
      <x:c r="E1313" s="10" t="n">
        <x:v>8</x:v>
      </x:c>
      <x:c r="F1313" s="10"/>
      <x:c r="G1313" s="10" t="str">
        <x:f>IF(F1313="","",MIN(F1313,E1313))</x:f>
      </x:c>
      <x:c r="H1313" s="10" t="str">
        <x:f>IF(F1313="","",MAX(0,F1313-E1313))</x:f>
      </x:c>
      <x:c r="I1313" s="24"/>
      <x:c r="J1313" s="7"/>
      <x:c r="K1313" s="8" t="str">
        <x:f>IF(A1313="","",DATE(YEAR(A1313),MONTH(A1313),1))</x:f>
      </x:c>
    </x:row>
    <x:row r="1314">
      <x:c r="A1314" s="9"/>
      <x:c r="B1314" s="7"/>
      <x:c r="C1314" s="7" t="str">
        <x:f>IF(B1314="","",XLOOKUP(B1314,Employees!$A$4:$A$53,Employees!$B$4:$B$53,""))</x:f>
      </x:c>
      <x:c r="D1314" s="7"/>
      <x:c r="E1314" s="10" t="n">
        <x:v>8</x:v>
      </x:c>
      <x:c r="F1314" s="10"/>
      <x:c r="G1314" s="10" t="str">
        <x:f>IF(F1314="","",MIN(F1314,E1314))</x:f>
      </x:c>
      <x:c r="H1314" s="10" t="str">
        <x:f>IF(F1314="","",MAX(0,F1314-E1314))</x:f>
      </x:c>
      <x:c r="I1314" s="24"/>
      <x:c r="J1314" s="7"/>
      <x:c r="K1314" s="8" t="str">
        <x:f>IF(A1314="","",DATE(YEAR(A1314),MONTH(A1314),1))</x:f>
      </x:c>
    </x:row>
    <x:row r="1315">
      <x:c r="A1315" s="9"/>
      <x:c r="B1315" s="7"/>
      <x:c r="C1315" s="7" t="str">
        <x:f>IF(B1315="","",XLOOKUP(B1315,Employees!$A$4:$A$53,Employees!$B$4:$B$53,""))</x:f>
      </x:c>
      <x:c r="D1315" s="7"/>
      <x:c r="E1315" s="10" t="n">
        <x:v>8</x:v>
      </x:c>
      <x:c r="F1315" s="10"/>
      <x:c r="G1315" s="10" t="str">
        <x:f>IF(F1315="","",MIN(F1315,E1315))</x:f>
      </x:c>
      <x:c r="H1315" s="10" t="str">
        <x:f>IF(F1315="","",MAX(0,F1315-E1315))</x:f>
      </x:c>
      <x:c r="I1315" s="24"/>
      <x:c r="J1315" s="7"/>
      <x:c r="K1315" s="8" t="str">
        <x:f>IF(A1315="","",DATE(YEAR(A1315),MONTH(A1315),1))</x:f>
      </x:c>
    </x:row>
    <x:row r="1316">
      <x:c r="A1316" s="9"/>
      <x:c r="B1316" s="7"/>
      <x:c r="C1316" s="7" t="str">
        <x:f>IF(B1316="","",XLOOKUP(B1316,Employees!$A$4:$A$53,Employees!$B$4:$B$53,""))</x:f>
      </x:c>
      <x:c r="D1316" s="7"/>
      <x:c r="E1316" s="10" t="n">
        <x:v>8</x:v>
      </x:c>
      <x:c r="F1316" s="10"/>
      <x:c r="G1316" s="10" t="str">
        <x:f>IF(F1316="","",MIN(F1316,E1316))</x:f>
      </x:c>
      <x:c r="H1316" s="10" t="str">
        <x:f>IF(F1316="","",MAX(0,F1316-E1316))</x:f>
      </x:c>
      <x:c r="I1316" s="24"/>
      <x:c r="J1316" s="7"/>
      <x:c r="K1316" s="8" t="str">
        <x:f>IF(A1316="","",DATE(YEAR(A1316),MONTH(A1316),1))</x:f>
      </x:c>
    </x:row>
    <x:row r="1317">
      <x:c r="A1317" s="9"/>
      <x:c r="B1317" s="7"/>
      <x:c r="C1317" s="7" t="str">
        <x:f>IF(B1317="","",XLOOKUP(B1317,Employees!$A$4:$A$53,Employees!$B$4:$B$53,""))</x:f>
      </x:c>
      <x:c r="D1317" s="7"/>
      <x:c r="E1317" s="10" t="n">
        <x:v>8</x:v>
      </x:c>
      <x:c r="F1317" s="10"/>
      <x:c r="G1317" s="10" t="str">
        <x:f>IF(F1317="","",MIN(F1317,E1317))</x:f>
      </x:c>
      <x:c r="H1317" s="10" t="str">
        <x:f>IF(F1317="","",MAX(0,F1317-E1317))</x:f>
      </x:c>
      <x:c r="I1317" s="24"/>
      <x:c r="J1317" s="7"/>
      <x:c r="K1317" s="8" t="str">
        <x:f>IF(A1317="","",DATE(YEAR(A1317),MONTH(A1317),1))</x:f>
      </x:c>
    </x:row>
    <x:row r="1318">
      <x:c r="A1318" s="9"/>
      <x:c r="B1318" s="7"/>
      <x:c r="C1318" s="7" t="str">
        <x:f>IF(B1318="","",XLOOKUP(B1318,Employees!$A$4:$A$53,Employees!$B$4:$B$53,""))</x:f>
      </x:c>
      <x:c r="D1318" s="7"/>
      <x:c r="E1318" s="10" t="n">
        <x:v>8</x:v>
      </x:c>
      <x:c r="F1318" s="10"/>
      <x:c r="G1318" s="10" t="str">
        <x:f>IF(F1318="","",MIN(F1318,E1318))</x:f>
      </x:c>
      <x:c r="H1318" s="10" t="str">
        <x:f>IF(F1318="","",MAX(0,F1318-E1318))</x:f>
      </x:c>
      <x:c r="I1318" s="24"/>
      <x:c r="J1318" s="7"/>
      <x:c r="K1318" s="8" t="str">
        <x:f>IF(A1318="","",DATE(YEAR(A1318),MONTH(A1318),1))</x:f>
      </x:c>
    </x:row>
    <x:row r="1319">
      <x:c r="A1319" s="9"/>
      <x:c r="B1319" s="7"/>
      <x:c r="C1319" s="7" t="str">
        <x:f>IF(B1319="","",XLOOKUP(B1319,Employees!$A$4:$A$53,Employees!$B$4:$B$53,""))</x:f>
      </x:c>
      <x:c r="D1319" s="7"/>
      <x:c r="E1319" s="10" t="n">
        <x:v>8</x:v>
      </x:c>
      <x:c r="F1319" s="10"/>
      <x:c r="G1319" s="10" t="str">
        <x:f>IF(F1319="","",MIN(F1319,E1319))</x:f>
      </x:c>
      <x:c r="H1319" s="10" t="str">
        <x:f>IF(F1319="","",MAX(0,F1319-E1319))</x:f>
      </x:c>
      <x:c r="I1319" s="24"/>
      <x:c r="J1319" s="7"/>
      <x:c r="K1319" s="8" t="str">
        <x:f>IF(A1319="","",DATE(YEAR(A1319),MONTH(A1319),1))</x:f>
      </x:c>
    </x:row>
    <x:row r="1320">
      <x:c r="A1320" s="9"/>
      <x:c r="B1320" s="7"/>
      <x:c r="C1320" s="7" t="str">
        <x:f>IF(B1320="","",XLOOKUP(B1320,Employees!$A$4:$A$53,Employees!$B$4:$B$53,""))</x:f>
      </x:c>
      <x:c r="D1320" s="7"/>
      <x:c r="E1320" s="10" t="n">
        <x:v>8</x:v>
      </x:c>
      <x:c r="F1320" s="10"/>
      <x:c r="G1320" s="10" t="str">
        <x:f>IF(F1320="","",MIN(F1320,E1320))</x:f>
      </x:c>
      <x:c r="H1320" s="10" t="str">
        <x:f>IF(F1320="","",MAX(0,F1320-E1320))</x:f>
      </x:c>
      <x:c r="I1320" s="24"/>
      <x:c r="J1320" s="7"/>
      <x:c r="K1320" s="8" t="str">
        <x:f>IF(A1320="","",DATE(YEAR(A1320),MONTH(A1320),1))</x:f>
      </x:c>
    </x:row>
    <x:row r="1321">
      <x:c r="A1321" s="9"/>
      <x:c r="B1321" s="7"/>
      <x:c r="C1321" s="7" t="str">
        <x:f>IF(B1321="","",XLOOKUP(B1321,Employees!$A$4:$A$53,Employees!$B$4:$B$53,""))</x:f>
      </x:c>
      <x:c r="D1321" s="7"/>
      <x:c r="E1321" s="10" t="n">
        <x:v>8</x:v>
      </x:c>
      <x:c r="F1321" s="10"/>
      <x:c r="G1321" s="10" t="str">
        <x:f>IF(F1321="","",MIN(F1321,E1321))</x:f>
      </x:c>
      <x:c r="H1321" s="10" t="str">
        <x:f>IF(F1321="","",MAX(0,F1321-E1321))</x:f>
      </x:c>
      <x:c r="I1321" s="24"/>
      <x:c r="J1321" s="7"/>
      <x:c r="K1321" s="8" t="str">
        <x:f>IF(A1321="","",DATE(YEAR(A1321),MONTH(A1321),1))</x:f>
      </x:c>
    </x:row>
    <x:row r="1322">
      <x:c r="A1322" s="9"/>
      <x:c r="B1322" s="7"/>
      <x:c r="C1322" s="7" t="str">
        <x:f>IF(B1322="","",XLOOKUP(B1322,Employees!$A$4:$A$53,Employees!$B$4:$B$53,""))</x:f>
      </x:c>
      <x:c r="D1322" s="7"/>
      <x:c r="E1322" s="10" t="n">
        <x:v>8</x:v>
      </x:c>
      <x:c r="F1322" s="10"/>
      <x:c r="G1322" s="10" t="str">
        <x:f>IF(F1322="","",MIN(F1322,E1322))</x:f>
      </x:c>
      <x:c r="H1322" s="10" t="str">
        <x:f>IF(F1322="","",MAX(0,F1322-E1322))</x:f>
      </x:c>
      <x:c r="I1322" s="24"/>
      <x:c r="J1322" s="7"/>
      <x:c r="K1322" s="8" t="str">
        <x:f>IF(A1322="","",DATE(YEAR(A1322),MONTH(A1322),1))</x:f>
      </x:c>
    </x:row>
    <x:row r="1323">
      <x:c r="A1323" s="9"/>
      <x:c r="B1323" s="7"/>
      <x:c r="C1323" s="7" t="str">
        <x:f>IF(B1323="","",XLOOKUP(B1323,Employees!$A$4:$A$53,Employees!$B$4:$B$53,""))</x:f>
      </x:c>
      <x:c r="D1323" s="7"/>
      <x:c r="E1323" s="10" t="n">
        <x:v>8</x:v>
      </x:c>
      <x:c r="F1323" s="10"/>
      <x:c r="G1323" s="10" t="str">
        <x:f>IF(F1323="","",MIN(F1323,E1323))</x:f>
      </x:c>
      <x:c r="H1323" s="10" t="str">
        <x:f>IF(F1323="","",MAX(0,F1323-E1323))</x:f>
      </x:c>
      <x:c r="I1323" s="24"/>
      <x:c r="J1323" s="7"/>
      <x:c r="K1323" s="8" t="str">
        <x:f>IF(A1323="","",DATE(YEAR(A1323),MONTH(A1323),1))</x:f>
      </x:c>
    </x:row>
    <x:row r="1324">
      <x:c r="A1324" s="9"/>
      <x:c r="B1324" s="7"/>
      <x:c r="C1324" s="7" t="str">
        <x:f>IF(B1324="","",XLOOKUP(B1324,Employees!$A$4:$A$53,Employees!$B$4:$B$53,""))</x:f>
      </x:c>
      <x:c r="D1324" s="7"/>
      <x:c r="E1324" s="10" t="n">
        <x:v>8</x:v>
      </x:c>
      <x:c r="F1324" s="10"/>
      <x:c r="G1324" s="10" t="str">
        <x:f>IF(F1324="","",MIN(F1324,E1324))</x:f>
      </x:c>
      <x:c r="H1324" s="10" t="str">
        <x:f>IF(F1324="","",MAX(0,F1324-E1324))</x:f>
      </x:c>
      <x:c r="I1324" s="24"/>
      <x:c r="J1324" s="7"/>
      <x:c r="K1324" s="8" t="str">
        <x:f>IF(A1324="","",DATE(YEAR(A1324),MONTH(A1324),1))</x:f>
      </x:c>
    </x:row>
    <x:row r="1325">
      <x:c r="A1325" s="9"/>
      <x:c r="B1325" s="7"/>
      <x:c r="C1325" s="7" t="str">
        <x:f>IF(B1325="","",XLOOKUP(B1325,Employees!$A$4:$A$53,Employees!$B$4:$B$53,""))</x:f>
      </x:c>
      <x:c r="D1325" s="7"/>
      <x:c r="E1325" s="10" t="n">
        <x:v>8</x:v>
      </x:c>
      <x:c r="F1325" s="10"/>
      <x:c r="G1325" s="10" t="str">
        <x:f>IF(F1325="","",MIN(F1325,E1325))</x:f>
      </x:c>
      <x:c r="H1325" s="10" t="str">
        <x:f>IF(F1325="","",MAX(0,F1325-E1325))</x:f>
      </x:c>
      <x:c r="I1325" s="24"/>
      <x:c r="J1325" s="7"/>
      <x:c r="K1325" s="8" t="str">
        <x:f>IF(A1325="","",DATE(YEAR(A1325),MONTH(A1325),1))</x:f>
      </x:c>
    </x:row>
    <x:row r="1326">
      <x:c r="A1326" s="9"/>
      <x:c r="B1326" s="7"/>
      <x:c r="C1326" s="7" t="str">
        <x:f>IF(B1326="","",XLOOKUP(B1326,Employees!$A$4:$A$53,Employees!$B$4:$B$53,""))</x:f>
      </x:c>
      <x:c r="D1326" s="7"/>
      <x:c r="E1326" s="10" t="n">
        <x:v>8</x:v>
      </x:c>
      <x:c r="F1326" s="10"/>
      <x:c r="G1326" s="10" t="str">
        <x:f>IF(F1326="","",MIN(F1326,E1326))</x:f>
      </x:c>
      <x:c r="H1326" s="10" t="str">
        <x:f>IF(F1326="","",MAX(0,F1326-E1326))</x:f>
      </x:c>
      <x:c r="I1326" s="24"/>
      <x:c r="J1326" s="7"/>
      <x:c r="K1326" s="8" t="str">
        <x:f>IF(A1326="","",DATE(YEAR(A1326),MONTH(A1326),1))</x:f>
      </x:c>
    </x:row>
    <x:row r="1327">
      <x:c r="A1327" s="9"/>
      <x:c r="B1327" s="7"/>
      <x:c r="C1327" s="7" t="str">
        <x:f>IF(B1327="","",XLOOKUP(B1327,Employees!$A$4:$A$53,Employees!$B$4:$B$53,""))</x:f>
      </x:c>
      <x:c r="D1327" s="7"/>
      <x:c r="E1327" s="10" t="n">
        <x:v>8</x:v>
      </x:c>
      <x:c r="F1327" s="10"/>
      <x:c r="G1327" s="10" t="str">
        <x:f>IF(F1327="","",MIN(F1327,E1327))</x:f>
      </x:c>
      <x:c r="H1327" s="10" t="str">
        <x:f>IF(F1327="","",MAX(0,F1327-E1327))</x:f>
      </x:c>
      <x:c r="I1327" s="24"/>
      <x:c r="J1327" s="7"/>
      <x:c r="K1327" s="8" t="str">
        <x:f>IF(A1327="","",DATE(YEAR(A1327),MONTH(A1327),1))</x:f>
      </x:c>
    </x:row>
    <x:row r="1328">
      <x:c r="A1328" s="9"/>
      <x:c r="B1328" s="7"/>
      <x:c r="C1328" s="7" t="str">
        <x:f>IF(B1328="","",XLOOKUP(B1328,Employees!$A$4:$A$53,Employees!$B$4:$B$53,""))</x:f>
      </x:c>
      <x:c r="D1328" s="7"/>
      <x:c r="E1328" s="10" t="n">
        <x:v>8</x:v>
      </x:c>
      <x:c r="F1328" s="10"/>
      <x:c r="G1328" s="10" t="str">
        <x:f>IF(F1328="","",MIN(F1328,E1328))</x:f>
      </x:c>
      <x:c r="H1328" s="10" t="str">
        <x:f>IF(F1328="","",MAX(0,F1328-E1328))</x:f>
      </x:c>
      <x:c r="I1328" s="24"/>
      <x:c r="J1328" s="7"/>
      <x:c r="K1328" s="8" t="str">
        <x:f>IF(A1328="","",DATE(YEAR(A1328),MONTH(A1328),1))</x:f>
      </x:c>
    </x:row>
    <x:row r="1329">
      <x:c r="A1329" s="9"/>
      <x:c r="B1329" s="7"/>
      <x:c r="C1329" s="7" t="str">
        <x:f>IF(B1329="","",XLOOKUP(B1329,Employees!$A$4:$A$53,Employees!$B$4:$B$53,""))</x:f>
      </x:c>
      <x:c r="D1329" s="7"/>
      <x:c r="E1329" s="10" t="n">
        <x:v>8</x:v>
      </x:c>
      <x:c r="F1329" s="10"/>
      <x:c r="G1329" s="10" t="str">
        <x:f>IF(F1329="","",MIN(F1329,E1329))</x:f>
      </x:c>
      <x:c r="H1329" s="10" t="str">
        <x:f>IF(F1329="","",MAX(0,F1329-E1329))</x:f>
      </x:c>
      <x:c r="I1329" s="24"/>
      <x:c r="J1329" s="7"/>
      <x:c r="K1329" s="8" t="str">
        <x:f>IF(A1329="","",DATE(YEAR(A1329),MONTH(A1329),1))</x:f>
      </x:c>
    </x:row>
    <x:row r="1330">
      <x:c r="A1330" s="9"/>
      <x:c r="B1330" s="7"/>
      <x:c r="C1330" s="7" t="str">
        <x:f>IF(B1330="","",XLOOKUP(B1330,Employees!$A$4:$A$53,Employees!$B$4:$B$53,""))</x:f>
      </x:c>
      <x:c r="D1330" s="7"/>
      <x:c r="E1330" s="10" t="n">
        <x:v>8</x:v>
      </x:c>
      <x:c r="F1330" s="10"/>
      <x:c r="G1330" s="10" t="str">
        <x:f>IF(F1330="","",MIN(F1330,E1330))</x:f>
      </x:c>
      <x:c r="H1330" s="10" t="str">
        <x:f>IF(F1330="","",MAX(0,F1330-E1330))</x:f>
      </x:c>
      <x:c r="I1330" s="24"/>
      <x:c r="J1330" s="7"/>
      <x:c r="K1330" s="8" t="str">
        <x:f>IF(A1330="","",DATE(YEAR(A1330),MONTH(A1330),1))</x:f>
      </x:c>
    </x:row>
    <x:row r="1331">
      <x:c r="A1331" s="9"/>
      <x:c r="B1331" s="7"/>
      <x:c r="C1331" s="7" t="str">
        <x:f>IF(B1331="","",XLOOKUP(B1331,Employees!$A$4:$A$53,Employees!$B$4:$B$53,""))</x:f>
      </x:c>
      <x:c r="D1331" s="7"/>
      <x:c r="E1331" s="10" t="n">
        <x:v>8</x:v>
      </x:c>
      <x:c r="F1331" s="10"/>
      <x:c r="G1331" s="10" t="str">
        <x:f>IF(F1331="","",MIN(F1331,E1331))</x:f>
      </x:c>
      <x:c r="H1331" s="10" t="str">
        <x:f>IF(F1331="","",MAX(0,F1331-E1331))</x:f>
      </x:c>
      <x:c r="I1331" s="24"/>
      <x:c r="J1331" s="7"/>
      <x:c r="K1331" s="8" t="str">
        <x:f>IF(A1331="","",DATE(YEAR(A1331),MONTH(A1331),1))</x:f>
      </x:c>
    </x:row>
    <x:row r="1332">
      <x:c r="A1332" s="9"/>
      <x:c r="B1332" s="7"/>
      <x:c r="C1332" s="7" t="str">
        <x:f>IF(B1332="","",XLOOKUP(B1332,Employees!$A$4:$A$53,Employees!$B$4:$B$53,""))</x:f>
      </x:c>
      <x:c r="D1332" s="7"/>
      <x:c r="E1332" s="10" t="n">
        <x:v>8</x:v>
      </x:c>
      <x:c r="F1332" s="10"/>
      <x:c r="G1332" s="10" t="str">
        <x:f>IF(F1332="","",MIN(F1332,E1332))</x:f>
      </x:c>
      <x:c r="H1332" s="10" t="str">
        <x:f>IF(F1332="","",MAX(0,F1332-E1332))</x:f>
      </x:c>
      <x:c r="I1332" s="24"/>
      <x:c r="J1332" s="7"/>
      <x:c r="K1332" s="8" t="str">
        <x:f>IF(A1332="","",DATE(YEAR(A1332),MONTH(A1332),1))</x:f>
      </x:c>
    </x:row>
    <x:row r="1333">
      <x:c r="A1333" s="9"/>
      <x:c r="B1333" s="7"/>
      <x:c r="C1333" s="7" t="str">
        <x:f>IF(B1333="","",XLOOKUP(B1333,Employees!$A$4:$A$53,Employees!$B$4:$B$53,""))</x:f>
      </x:c>
      <x:c r="D1333" s="7"/>
      <x:c r="E1333" s="10" t="n">
        <x:v>8</x:v>
      </x:c>
      <x:c r="F1333" s="10"/>
      <x:c r="G1333" s="10" t="str">
        <x:f>IF(F1333="","",MIN(F1333,E1333))</x:f>
      </x:c>
      <x:c r="H1333" s="10" t="str">
        <x:f>IF(F1333="","",MAX(0,F1333-E1333))</x:f>
      </x:c>
      <x:c r="I1333" s="24"/>
      <x:c r="J1333" s="7"/>
      <x:c r="K1333" s="8" t="str">
        <x:f>IF(A1333="","",DATE(YEAR(A1333),MONTH(A1333),1))</x:f>
      </x:c>
    </x:row>
    <x:row r="1334">
      <x:c r="A1334" s="9"/>
      <x:c r="B1334" s="7"/>
      <x:c r="C1334" s="7" t="str">
        <x:f>IF(B1334="","",XLOOKUP(B1334,Employees!$A$4:$A$53,Employees!$B$4:$B$53,""))</x:f>
      </x:c>
      <x:c r="D1334" s="7"/>
      <x:c r="E1334" s="10" t="n">
        <x:v>8</x:v>
      </x:c>
      <x:c r="F1334" s="10"/>
      <x:c r="G1334" s="10" t="str">
        <x:f>IF(F1334="","",MIN(F1334,E1334))</x:f>
      </x:c>
      <x:c r="H1334" s="10" t="str">
        <x:f>IF(F1334="","",MAX(0,F1334-E1334))</x:f>
      </x:c>
      <x:c r="I1334" s="24"/>
      <x:c r="J1334" s="7"/>
      <x:c r="K1334" s="8" t="str">
        <x:f>IF(A1334="","",DATE(YEAR(A1334),MONTH(A1334),1))</x:f>
      </x:c>
    </x:row>
    <x:row r="1335">
      <x:c r="A1335" s="9"/>
      <x:c r="B1335" s="7"/>
      <x:c r="C1335" s="7" t="str">
        <x:f>IF(B1335="","",XLOOKUP(B1335,Employees!$A$4:$A$53,Employees!$B$4:$B$53,""))</x:f>
      </x:c>
      <x:c r="D1335" s="7"/>
      <x:c r="E1335" s="10" t="n">
        <x:v>8</x:v>
      </x:c>
      <x:c r="F1335" s="10"/>
      <x:c r="G1335" s="10" t="str">
        <x:f>IF(F1335="","",MIN(F1335,E1335))</x:f>
      </x:c>
      <x:c r="H1335" s="10" t="str">
        <x:f>IF(F1335="","",MAX(0,F1335-E1335))</x:f>
      </x:c>
      <x:c r="I1335" s="24"/>
      <x:c r="J1335" s="7"/>
      <x:c r="K1335" s="8" t="str">
        <x:f>IF(A1335="","",DATE(YEAR(A1335),MONTH(A1335),1))</x:f>
      </x:c>
    </x:row>
    <x:row r="1336">
      <x:c r="A1336" s="9"/>
      <x:c r="B1336" s="7"/>
      <x:c r="C1336" s="7" t="str">
        <x:f>IF(B1336="","",XLOOKUP(B1336,Employees!$A$4:$A$53,Employees!$B$4:$B$53,""))</x:f>
      </x:c>
      <x:c r="D1336" s="7"/>
      <x:c r="E1336" s="10" t="n">
        <x:v>8</x:v>
      </x:c>
      <x:c r="F1336" s="10"/>
      <x:c r="G1336" s="10" t="str">
        <x:f>IF(F1336="","",MIN(F1336,E1336))</x:f>
      </x:c>
      <x:c r="H1336" s="10" t="str">
        <x:f>IF(F1336="","",MAX(0,F1336-E1336))</x:f>
      </x:c>
      <x:c r="I1336" s="24"/>
      <x:c r="J1336" s="7"/>
      <x:c r="K1336" s="8" t="str">
        <x:f>IF(A1336="","",DATE(YEAR(A1336),MONTH(A1336),1))</x:f>
      </x:c>
    </x:row>
    <x:row r="1337">
      <x:c r="A1337" s="9"/>
      <x:c r="B1337" s="7"/>
      <x:c r="C1337" s="7" t="str">
        <x:f>IF(B1337="","",XLOOKUP(B1337,Employees!$A$4:$A$53,Employees!$B$4:$B$53,""))</x:f>
      </x:c>
      <x:c r="D1337" s="7"/>
      <x:c r="E1337" s="10" t="n">
        <x:v>8</x:v>
      </x:c>
      <x:c r="F1337" s="10"/>
      <x:c r="G1337" s="10" t="str">
        <x:f>IF(F1337="","",MIN(F1337,E1337))</x:f>
      </x:c>
      <x:c r="H1337" s="10" t="str">
        <x:f>IF(F1337="","",MAX(0,F1337-E1337))</x:f>
      </x:c>
      <x:c r="I1337" s="24"/>
      <x:c r="J1337" s="7"/>
      <x:c r="K1337" s="8" t="str">
        <x:f>IF(A1337="","",DATE(YEAR(A1337),MONTH(A1337),1))</x:f>
      </x:c>
    </x:row>
    <x:row r="1338">
      <x:c r="A1338" s="9"/>
      <x:c r="B1338" s="7"/>
      <x:c r="C1338" s="7" t="str">
        <x:f>IF(B1338="","",XLOOKUP(B1338,Employees!$A$4:$A$53,Employees!$B$4:$B$53,""))</x:f>
      </x:c>
      <x:c r="D1338" s="7"/>
      <x:c r="E1338" s="10" t="n">
        <x:v>8</x:v>
      </x:c>
      <x:c r="F1338" s="10"/>
      <x:c r="G1338" s="10" t="str">
        <x:f>IF(F1338="","",MIN(F1338,E1338))</x:f>
      </x:c>
      <x:c r="H1338" s="10" t="str">
        <x:f>IF(F1338="","",MAX(0,F1338-E1338))</x:f>
      </x:c>
      <x:c r="I1338" s="24"/>
      <x:c r="J1338" s="7"/>
      <x:c r="K1338" s="8" t="str">
        <x:f>IF(A1338="","",DATE(YEAR(A1338),MONTH(A1338),1))</x:f>
      </x:c>
    </x:row>
    <x:row r="1339">
      <x:c r="A1339" s="9"/>
      <x:c r="B1339" s="7"/>
      <x:c r="C1339" s="7" t="str">
        <x:f>IF(B1339="","",XLOOKUP(B1339,Employees!$A$4:$A$53,Employees!$B$4:$B$53,""))</x:f>
      </x:c>
      <x:c r="D1339" s="7"/>
      <x:c r="E1339" s="10" t="n">
        <x:v>8</x:v>
      </x:c>
      <x:c r="F1339" s="10"/>
      <x:c r="G1339" s="10" t="str">
        <x:f>IF(F1339="","",MIN(F1339,E1339))</x:f>
      </x:c>
      <x:c r="H1339" s="10" t="str">
        <x:f>IF(F1339="","",MAX(0,F1339-E1339))</x:f>
      </x:c>
      <x:c r="I1339" s="24"/>
      <x:c r="J1339" s="7"/>
      <x:c r="K1339" s="8" t="str">
        <x:f>IF(A1339="","",DATE(YEAR(A1339),MONTH(A1339),1))</x:f>
      </x:c>
    </x:row>
    <x:row r="1340">
      <x:c r="A1340" s="9"/>
      <x:c r="B1340" s="7"/>
      <x:c r="C1340" s="7" t="str">
        <x:f>IF(B1340="","",XLOOKUP(B1340,Employees!$A$4:$A$53,Employees!$B$4:$B$53,""))</x:f>
      </x:c>
      <x:c r="D1340" s="7"/>
      <x:c r="E1340" s="10" t="n">
        <x:v>8</x:v>
      </x:c>
      <x:c r="F1340" s="10"/>
      <x:c r="G1340" s="10" t="str">
        <x:f>IF(F1340="","",MIN(F1340,E1340))</x:f>
      </x:c>
      <x:c r="H1340" s="10" t="str">
        <x:f>IF(F1340="","",MAX(0,F1340-E1340))</x:f>
      </x:c>
      <x:c r="I1340" s="24"/>
      <x:c r="J1340" s="7"/>
      <x:c r="K1340" s="8" t="str">
        <x:f>IF(A1340="","",DATE(YEAR(A1340),MONTH(A1340),1))</x:f>
      </x:c>
    </x:row>
    <x:row r="1341">
      <x:c r="A1341" s="9"/>
      <x:c r="B1341" s="7"/>
      <x:c r="C1341" s="7" t="str">
        <x:f>IF(B1341="","",XLOOKUP(B1341,Employees!$A$4:$A$53,Employees!$B$4:$B$53,""))</x:f>
      </x:c>
      <x:c r="D1341" s="7"/>
      <x:c r="E1341" s="10" t="n">
        <x:v>8</x:v>
      </x:c>
      <x:c r="F1341" s="10"/>
      <x:c r="G1341" s="10" t="str">
        <x:f>IF(F1341="","",MIN(F1341,E1341))</x:f>
      </x:c>
      <x:c r="H1341" s="10" t="str">
        <x:f>IF(F1341="","",MAX(0,F1341-E1341))</x:f>
      </x:c>
      <x:c r="I1341" s="24"/>
      <x:c r="J1341" s="7"/>
      <x:c r="K1341" s="8" t="str">
        <x:f>IF(A1341="","",DATE(YEAR(A1341),MONTH(A1341),1))</x:f>
      </x:c>
    </x:row>
    <x:row r="1342">
      <x:c r="A1342" s="9"/>
      <x:c r="B1342" s="7"/>
      <x:c r="C1342" s="7" t="str">
        <x:f>IF(B1342="","",XLOOKUP(B1342,Employees!$A$4:$A$53,Employees!$B$4:$B$53,""))</x:f>
      </x:c>
      <x:c r="D1342" s="7"/>
      <x:c r="E1342" s="10" t="n">
        <x:v>8</x:v>
      </x:c>
      <x:c r="F1342" s="10"/>
      <x:c r="G1342" s="10" t="str">
        <x:f>IF(F1342="","",MIN(F1342,E1342))</x:f>
      </x:c>
      <x:c r="H1342" s="10" t="str">
        <x:f>IF(F1342="","",MAX(0,F1342-E1342))</x:f>
      </x:c>
      <x:c r="I1342" s="24"/>
      <x:c r="J1342" s="7"/>
      <x:c r="K1342" s="8" t="str">
        <x:f>IF(A1342="","",DATE(YEAR(A1342),MONTH(A1342),1))</x:f>
      </x:c>
    </x:row>
    <x:row r="1343">
      <x:c r="A1343" s="9"/>
      <x:c r="B1343" s="7"/>
      <x:c r="C1343" s="7" t="str">
        <x:f>IF(B1343="","",XLOOKUP(B1343,Employees!$A$4:$A$53,Employees!$B$4:$B$53,""))</x:f>
      </x:c>
      <x:c r="D1343" s="7"/>
      <x:c r="E1343" s="10" t="n">
        <x:v>8</x:v>
      </x:c>
      <x:c r="F1343" s="10"/>
      <x:c r="G1343" s="10" t="str">
        <x:f>IF(F1343="","",MIN(F1343,E1343))</x:f>
      </x:c>
      <x:c r="H1343" s="10" t="str">
        <x:f>IF(F1343="","",MAX(0,F1343-E1343))</x:f>
      </x:c>
      <x:c r="I1343" s="24"/>
      <x:c r="J1343" s="7"/>
      <x:c r="K1343" s="8" t="str">
        <x:f>IF(A1343="","",DATE(YEAR(A1343),MONTH(A1343),1))</x:f>
      </x:c>
    </x:row>
    <x:row r="1344">
      <x:c r="A1344" s="9"/>
      <x:c r="B1344" s="7"/>
      <x:c r="C1344" s="7" t="str">
        <x:f>IF(B1344="","",XLOOKUP(B1344,Employees!$A$4:$A$53,Employees!$B$4:$B$53,""))</x:f>
      </x:c>
      <x:c r="D1344" s="7"/>
      <x:c r="E1344" s="10" t="n">
        <x:v>8</x:v>
      </x:c>
      <x:c r="F1344" s="10"/>
      <x:c r="G1344" s="10" t="str">
        <x:f>IF(F1344="","",MIN(F1344,E1344))</x:f>
      </x:c>
      <x:c r="H1344" s="10" t="str">
        <x:f>IF(F1344="","",MAX(0,F1344-E1344))</x:f>
      </x:c>
      <x:c r="I1344" s="24"/>
      <x:c r="J1344" s="7"/>
      <x:c r="K1344" s="8" t="str">
        <x:f>IF(A1344="","",DATE(YEAR(A1344),MONTH(A1344),1))</x:f>
      </x:c>
    </x:row>
    <x:row r="1345">
      <x:c r="A1345" s="9"/>
      <x:c r="B1345" s="7"/>
      <x:c r="C1345" s="7" t="str">
        <x:f>IF(B1345="","",XLOOKUP(B1345,Employees!$A$4:$A$53,Employees!$B$4:$B$53,""))</x:f>
      </x:c>
      <x:c r="D1345" s="7"/>
      <x:c r="E1345" s="10" t="n">
        <x:v>8</x:v>
      </x:c>
      <x:c r="F1345" s="10"/>
      <x:c r="G1345" s="10" t="str">
        <x:f>IF(F1345="","",MIN(F1345,E1345))</x:f>
      </x:c>
      <x:c r="H1345" s="10" t="str">
        <x:f>IF(F1345="","",MAX(0,F1345-E1345))</x:f>
      </x:c>
      <x:c r="I1345" s="24"/>
      <x:c r="J1345" s="7"/>
      <x:c r="K1345" s="8" t="str">
        <x:f>IF(A1345="","",DATE(YEAR(A1345),MONTH(A1345),1))</x:f>
      </x:c>
    </x:row>
    <x:row r="1346">
      <x:c r="A1346" s="9"/>
      <x:c r="B1346" s="7"/>
      <x:c r="C1346" s="7" t="str">
        <x:f>IF(B1346="","",XLOOKUP(B1346,Employees!$A$4:$A$53,Employees!$B$4:$B$53,""))</x:f>
      </x:c>
      <x:c r="D1346" s="7"/>
      <x:c r="E1346" s="10" t="n">
        <x:v>8</x:v>
      </x:c>
      <x:c r="F1346" s="10"/>
      <x:c r="G1346" s="10" t="str">
        <x:f>IF(F1346="","",MIN(F1346,E1346))</x:f>
      </x:c>
      <x:c r="H1346" s="10" t="str">
        <x:f>IF(F1346="","",MAX(0,F1346-E1346))</x:f>
      </x:c>
      <x:c r="I1346" s="24"/>
      <x:c r="J1346" s="7"/>
      <x:c r="K1346" s="8" t="str">
        <x:f>IF(A1346="","",DATE(YEAR(A1346),MONTH(A1346),1))</x:f>
      </x:c>
    </x:row>
    <x:row r="1347">
      <x:c r="A1347" s="9"/>
      <x:c r="B1347" s="7"/>
      <x:c r="C1347" s="7" t="str">
        <x:f>IF(B1347="","",XLOOKUP(B1347,Employees!$A$4:$A$53,Employees!$B$4:$B$53,""))</x:f>
      </x:c>
      <x:c r="D1347" s="7"/>
      <x:c r="E1347" s="10" t="n">
        <x:v>8</x:v>
      </x:c>
      <x:c r="F1347" s="10"/>
      <x:c r="G1347" s="10" t="str">
        <x:f>IF(F1347="","",MIN(F1347,E1347))</x:f>
      </x:c>
      <x:c r="H1347" s="10" t="str">
        <x:f>IF(F1347="","",MAX(0,F1347-E1347))</x:f>
      </x:c>
      <x:c r="I1347" s="24"/>
      <x:c r="J1347" s="7"/>
      <x:c r="K1347" s="8" t="str">
        <x:f>IF(A1347="","",DATE(YEAR(A1347),MONTH(A1347),1))</x:f>
      </x:c>
    </x:row>
    <x:row r="1348">
      <x:c r="A1348" s="9"/>
      <x:c r="B1348" s="7"/>
      <x:c r="C1348" s="7" t="str">
        <x:f>IF(B1348="","",XLOOKUP(B1348,Employees!$A$4:$A$53,Employees!$B$4:$B$53,""))</x:f>
      </x:c>
      <x:c r="D1348" s="7"/>
      <x:c r="E1348" s="10" t="n">
        <x:v>8</x:v>
      </x:c>
      <x:c r="F1348" s="10"/>
      <x:c r="G1348" s="10" t="str">
        <x:f>IF(F1348="","",MIN(F1348,E1348))</x:f>
      </x:c>
      <x:c r="H1348" s="10" t="str">
        <x:f>IF(F1348="","",MAX(0,F1348-E1348))</x:f>
      </x:c>
      <x:c r="I1348" s="24"/>
      <x:c r="J1348" s="7"/>
      <x:c r="K1348" s="8" t="str">
        <x:f>IF(A1348="","",DATE(YEAR(A1348),MONTH(A1348),1))</x:f>
      </x:c>
    </x:row>
    <x:row r="1349">
      <x:c r="A1349" s="9"/>
      <x:c r="B1349" s="7"/>
      <x:c r="C1349" s="7" t="str">
        <x:f>IF(B1349="","",XLOOKUP(B1349,Employees!$A$4:$A$53,Employees!$B$4:$B$53,""))</x:f>
      </x:c>
      <x:c r="D1349" s="7"/>
      <x:c r="E1349" s="10" t="n">
        <x:v>8</x:v>
      </x:c>
      <x:c r="F1349" s="10"/>
      <x:c r="G1349" s="10" t="str">
        <x:f>IF(F1349="","",MIN(F1349,E1349))</x:f>
      </x:c>
      <x:c r="H1349" s="10" t="str">
        <x:f>IF(F1349="","",MAX(0,F1349-E1349))</x:f>
      </x:c>
      <x:c r="I1349" s="24"/>
      <x:c r="J1349" s="7"/>
      <x:c r="K1349" s="8" t="str">
        <x:f>IF(A1349="","",DATE(YEAR(A1349),MONTH(A1349),1))</x:f>
      </x:c>
    </x:row>
    <x:row r="1350">
      <x:c r="A1350" s="9"/>
      <x:c r="B1350" s="7"/>
      <x:c r="C1350" s="7" t="str">
        <x:f>IF(B1350="","",XLOOKUP(B1350,Employees!$A$4:$A$53,Employees!$B$4:$B$53,""))</x:f>
      </x:c>
      <x:c r="D1350" s="7"/>
      <x:c r="E1350" s="10" t="n">
        <x:v>8</x:v>
      </x:c>
      <x:c r="F1350" s="10"/>
      <x:c r="G1350" s="10" t="str">
        <x:f>IF(F1350="","",MIN(F1350,E1350))</x:f>
      </x:c>
      <x:c r="H1350" s="10" t="str">
        <x:f>IF(F1350="","",MAX(0,F1350-E1350))</x:f>
      </x:c>
      <x:c r="I1350" s="24"/>
      <x:c r="J1350" s="7"/>
      <x:c r="K1350" s="8" t="str">
        <x:f>IF(A1350="","",DATE(YEAR(A1350),MONTH(A1350),1))</x:f>
      </x:c>
    </x:row>
    <x:row r="1351">
      <x:c r="A1351" s="9"/>
      <x:c r="B1351" s="7"/>
      <x:c r="C1351" s="7" t="str">
        <x:f>IF(B1351="","",XLOOKUP(B1351,Employees!$A$4:$A$53,Employees!$B$4:$B$53,""))</x:f>
      </x:c>
      <x:c r="D1351" s="7"/>
      <x:c r="E1351" s="10" t="n">
        <x:v>8</x:v>
      </x:c>
      <x:c r="F1351" s="10"/>
      <x:c r="G1351" s="10" t="str">
        <x:f>IF(F1351="","",MIN(F1351,E1351))</x:f>
      </x:c>
      <x:c r="H1351" s="10" t="str">
        <x:f>IF(F1351="","",MAX(0,F1351-E1351))</x:f>
      </x:c>
      <x:c r="I1351" s="24"/>
      <x:c r="J1351" s="7"/>
      <x:c r="K1351" s="8" t="str">
        <x:f>IF(A1351="","",DATE(YEAR(A1351),MONTH(A1351),1))</x:f>
      </x:c>
    </x:row>
    <x:row r="1352">
      <x:c r="A1352" s="9"/>
      <x:c r="B1352" s="7"/>
      <x:c r="C1352" s="7" t="str">
        <x:f>IF(B1352="","",XLOOKUP(B1352,Employees!$A$4:$A$53,Employees!$B$4:$B$53,""))</x:f>
      </x:c>
      <x:c r="D1352" s="7"/>
      <x:c r="E1352" s="10" t="n">
        <x:v>8</x:v>
      </x:c>
      <x:c r="F1352" s="10"/>
      <x:c r="G1352" s="10" t="str">
        <x:f>IF(F1352="","",MIN(F1352,E1352))</x:f>
      </x:c>
      <x:c r="H1352" s="10" t="str">
        <x:f>IF(F1352="","",MAX(0,F1352-E1352))</x:f>
      </x:c>
      <x:c r="I1352" s="24"/>
      <x:c r="J1352" s="7"/>
      <x:c r="K1352" s="8" t="str">
        <x:f>IF(A1352="","",DATE(YEAR(A1352),MONTH(A1352),1))</x:f>
      </x:c>
    </x:row>
    <x:row r="1353">
      <x:c r="A1353" s="9"/>
      <x:c r="B1353" s="7"/>
      <x:c r="C1353" s="7" t="str">
        <x:f>IF(B1353="","",XLOOKUP(B1353,Employees!$A$4:$A$53,Employees!$B$4:$B$53,""))</x:f>
      </x:c>
      <x:c r="D1353" s="7"/>
      <x:c r="E1353" s="10" t="n">
        <x:v>8</x:v>
      </x:c>
      <x:c r="F1353" s="10"/>
      <x:c r="G1353" s="10" t="str">
        <x:f>IF(F1353="","",MIN(F1353,E1353))</x:f>
      </x:c>
      <x:c r="H1353" s="10" t="str">
        <x:f>IF(F1353="","",MAX(0,F1353-E1353))</x:f>
      </x:c>
      <x:c r="I1353" s="24"/>
      <x:c r="J1353" s="7"/>
      <x:c r="K1353" s="8" t="str">
        <x:f>IF(A1353="","",DATE(YEAR(A1353),MONTH(A1353),1))</x:f>
      </x:c>
    </x:row>
    <x:row r="1354">
      <x:c r="A1354" s="9"/>
      <x:c r="B1354" s="7"/>
      <x:c r="C1354" s="7" t="str">
        <x:f>IF(B1354="","",XLOOKUP(B1354,Employees!$A$4:$A$53,Employees!$B$4:$B$53,""))</x:f>
      </x:c>
      <x:c r="D1354" s="7"/>
      <x:c r="E1354" s="10" t="n">
        <x:v>8</x:v>
      </x:c>
      <x:c r="F1354" s="10"/>
      <x:c r="G1354" s="10" t="str">
        <x:f>IF(F1354="","",MIN(F1354,E1354))</x:f>
      </x:c>
      <x:c r="H1354" s="10" t="str">
        <x:f>IF(F1354="","",MAX(0,F1354-E1354))</x:f>
      </x:c>
      <x:c r="I1354" s="24"/>
      <x:c r="J1354" s="7"/>
      <x:c r="K1354" s="8" t="str">
        <x:f>IF(A1354="","",DATE(YEAR(A1354),MONTH(A1354),1))</x:f>
      </x:c>
    </x:row>
    <x:row r="1355">
      <x:c r="A1355" s="9"/>
      <x:c r="B1355" s="7"/>
      <x:c r="C1355" s="7" t="str">
        <x:f>IF(B1355="","",XLOOKUP(B1355,Employees!$A$4:$A$53,Employees!$B$4:$B$53,""))</x:f>
      </x:c>
      <x:c r="D1355" s="7"/>
      <x:c r="E1355" s="10" t="n">
        <x:v>8</x:v>
      </x:c>
      <x:c r="F1355" s="10"/>
      <x:c r="G1355" s="10" t="str">
        <x:f>IF(F1355="","",MIN(F1355,E1355))</x:f>
      </x:c>
      <x:c r="H1355" s="10" t="str">
        <x:f>IF(F1355="","",MAX(0,F1355-E1355))</x:f>
      </x:c>
      <x:c r="I1355" s="24"/>
      <x:c r="J1355" s="7"/>
      <x:c r="K1355" s="8" t="str">
        <x:f>IF(A1355="","",DATE(YEAR(A1355),MONTH(A1355),1))</x:f>
      </x:c>
    </x:row>
    <x:row r="1356">
      <x:c r="A1356" s="9"/>
      <x:c r="B1356" s="7"/>
      <x:c r="C1356" s="7" t="str">
        <x:f>IF(B1356="","",XLOOKUP(B1356,Employees!$A$4:$A$53,Employees!$B$4:$B$53,""))</x:f>
      </x:c>
      <x:c r="D1356" s="7"/>
      <x:c r="E1356" s="10" t="n">
        <x:v>8</x:v>
      </x:c>
      <x:c r="F1356" s="10"/>
      <x:c r="G1356" s="10" t="str">
        <x:f>IF(F1356="","",MIN(F1356,E1356))</x:f>
      </x:c>
      <x:c r="H1356" s="10" t="str">
        <x:f>IF(F1356="","",MAX(0,F1356-E1356))</x:f>
      </x:c>
      <x:c r="I1356" s="24"/>
      <x:c r="J1356" s="7"/>
      <x:c r="K1356" s="8" t="str">
        <x:f>IF(A1356="","",DATE(YEAR(A1356),MONTH(A1356),1))</x:f>
      </x:c>
    </x:row>
    <x:row r="1357">
      <x:c r="A1357" s="9"/>
      <x:c r="B1357" s="7"/>
      <x:c r="C1357" s="7" t="str">
        <x:f>IF(B1357="","",XLOOKUP(B1357,Employees!$A$4:$A$53,Employees!$B$4:$B$53,""))</x:f>
      </x:c>
      <x:c r="D1357" s="7"/>
      <x:c r="E1357" s="10" t="n">
        <x:v>8</x:v>
      </x:c>
      <x:c r="F1357" s="10"/>
      <x:c r="G1357" s="10" t="str">
        <x:f>IF(F1357="","",MIN(F1357,E1357))</x:f>
      </x:c>
      <x:c r="H1357" s="10" t="str">
        <x:f>IF(F1357="","",MAX(0,F1357-E1357))</x:f>
      </x:c>
      <x:c r="I1357" s="24"/>
      <x:c r="J1357" s="7"/>
      <x:c r="K1357" s="8" t="str">
        <x:f>IF(A1357="","",DATE(YEAR(A1357),MONTH(A1357),1))</x:f>
      </x:c>
    </x:row>
    <x:row r="1358">
      <x:c r="A1358" s="9"/>
      <x:c r="B1358" s="7"/>
      <x:c r="C1358" s="7" t="str">
        <x:f>IF(B1358="","",XLOOKUP(B1358,Employees!$A$4:$A$53,Employees!$B$4:$B$53,""))</x:f>
      </x:c>
      <x:c r="D1358" s="7"/>
      <x:c r="E1358" s="10" t="n">
        <x:v>8</x:v>
      </x:c>
      <x:c r="F1358" s="10"/>
      <x:c r="G1358" s="10" t="str">
        <x:f>IF(F1358="","",MIN(F1358,E1358))</x:f>
      </x:c>
      <x:c r="H1358" s="10" t="str">
        <x:f>IF(F1358="","",MAX(0,F1358-E1358))</x:f>
      </x:c>
      <x:c r="I1358" s="24"/>
      <x:c r="J1358" s="7"/>
      <x:c r="K1358" s="8" t="str">
        <x:f>IF(A1358="","",DATE(YEAR(A1358),MONTH(A1358),1))</x:f>
      </x:c>
    </x:row>
    <x:row r="1359">
      <x:c r="A1359" s="9"/>
      <x:c r="B1359" s="7"/>
      <x:c r="C1359" s="7" t="str">
        <x:f>IF(B1359="","",XLOOKUP(B1359,Employees!$A$4:$A$53,Employees!$B$4:$B$53,""))</x:f>
      </x:c>
      <x:c r="D1359" s="7"/>
      <x:c r="E1359" s="10" t="n">
        <x:v>8</x:v>
      </x:c>
      <x:c r="F1359" s="10"/>
      <x:c r="G1359" s="10" t="str">
        <x:f>IF(F1359="","",MIN(F1359,E1359))</x:f>
      </x:c>
      <x:c r="H1359" s="10" t="str">
        <x:f>IF(F1359="","",MAX(0,F1359-E1359))</x:f>
      </x:c>
      <x:c r="I1359" s="24"/>
      <x:c r="J1359" s="7"/>
      <x:c r="K1359" s="8" t="str">
        <x:f>IF(A1359="","",DATE(YEAR(A1359),MONTH(A1359),1))</x:f>
      </x:c>
    </x:row>
    <x:row r="1360">
      <x:c r="A1360" s="9"/>
      <x:c r="B1360" s="7"/>
      <x:c r="C1360" s="7" t="str">
        <x:f>IF(B1360="","",XLOOKUP(B1360,Employees!$A$4:$A$53,Employees!$B$4:$B$53,""))</x:f>
      </x:c>
      <x:c r="D1360" s="7"/>
      <x:c r="E1360" s="10" t="n">
        <x:v>8</x:v>
      </x:c>
      <x:c r="F1360" s="10"/>
      <x:c r="G1360" s="10" t="str">
        <x:f>IF(F1360="","",MIN(F1360,E1360))</x:f>
      </x:c>
      <x:c r="H1360" s="10" t="str">
        <x:f>IF(F1360="","",MAX(0,F1360-E1360))</x:f>
      </x:c>
      <x:c r="I1360" s="24"/>
      <x:c r="J1360" s="7"/>
      <x:c r="K1360" s="8" t="str">
        <x:f>IF(A1360="","",DATE(YEAR(A1360),MONTH(A1360),1))</x:f>
      </x:c>
    </x:row>
    <x:row r="1361">
      <x:c r="A1361" s="9"/>
      <x:c r="B1361" s="7"/>
      <x:c r="C1361" s="7" t="str">
        <x:f>IF(B1361="","",XLOOKUP(B1361,Employees!$A$4:$A$53,Employees!$B$4:$B$53,""))</x:f>
      </x:c>
      <x:c r="D1361" s="7"/>
      <x:c r="E1361" s="10" t="n">
        <x:v>8</x:v>
      </x:c>
      <x:c r="F1361" s="10"/>
      <x:c r="G1361" s="10" t="str">
        <x:f>IF(F1361="","",MIN(F1361,E1361))</x:f>
      </x:c>
      <x:c r="H1361" s="10" t="str">
        <x:f>IF(F1361="","",MAX(0,F1361-E1361))</x:f>
      </x:c>
      <x:c r="I1361" s="24"/>
      <x:c r="J1361" s="7"/>
      <x:c r="K1361" s="8" t="str">
        <x:f>IF(A1361="","",DATE(YEAR(A1361),MONTH(A1361),1))</x:f>
      </x:c>
    </x:row>
    <x:row r="1362">
      <x:c r="A1362" s="9"/>
      <x:c r="B1362" s="7"/>
      <x:c r="C1362" s="7" t="str">
        <x:f>IF(B1362="","",XLOOKUP(B1362,Employees!$A$4:$A$53,Employees!$B$4:$B$53,""))</x:f>
      </x:c>
      <x:c r="D1362" s="7"/>
      <x:c r="E1362" s="10" t="n">
        <x:v>8</x:v>
      </x:c>
      <x:c r="F1362" s="10"/>
      <x:c r="G1362" s="10" t="str">
        <x:f>IF(F1362="","",MIN(F1362,E1362))</x:f>
      </x:c>
      <x:c r="H1362" s="10" t="str">
        <x:f>IF(F1362="","",MAX(0,F1362-E1362))</x:f>
      </x:c>
      <x:c r="I1362" s="24"/>
      <x:c r="J1362" s="7"/>
      <x:c r="K1362" s="8" t="str">
        <x:f>IF(A1362="","",DATE(YEAR(A1362),MONTH(A1362),1))</x:f>
      </x:c>
    </x:row>
    <x:row r="1363">
      <x:c r="A1363" s="9"/>
      <x:c r="B1363" s="7"/>
      <x:c r="C1363" s="7" t="str">
        <x:f>IF(B1363="","",XLOOKUP(B1363,Employees!$A$4:$A$53,Employees!$B$4:$B$53,""))</x:f>
      </x:c>
      <x:c r="D1363" s="7"/>
      <x:c r="E1363" s="10" t="n">
        <x:v>8</x:v>
      </x:c>
      <x:c r="F1363" s="10"/>
      <x:c r="G1363" s="10" t="str">
        <x:f>IF(F1363="","",MIN(F1363,E1363))</x:f>
      </x:c>
      <x:c r="H1363" s="10" t="str">
        <x:f>IF(F1363="","",MAX(0,F1363-E1363))</x:f>
      </x:c>
      <x:c r="I1363" s="24"/>
      <x:c r="J1363" s="7"/>
      <x:c r="K1363" s="8" t="str">
        <x:f>IF(A1363="","",DATE(YEAR(A1363),MONTH(A1363),1))</x:f>
      </x:c>
    </x:row>
    <x:row r="1364">
      <x:c r="A1364" s="9"/>
      <x:c r="B1364" s="7"/>
      <x:c r="C1364" s="7" t="str">
        <x:f>IF(B1364="","",XLOOKUP(B1364,Employees!$A$4:$A$53,Employees!$B$4:$B$53,""))</x:f>
      </x:c>
      <x:c r="D1364" s="7"/>
      <x:c r="E1364" s="10" t="n">
        <x:v>8</x:v>
      </x:c>
      <x:c r="F1364" s="10"/>
      <x:c r="G1364" s="10" t="str">
        <x:f>IF(F1364="","",MIN(F1364,E1364))</x:f>
      </x:c>
      <x:c r="H1364" s="10" t="str">
        <x:f>IF(F1364="","",MAX(0,F1364-E1364))</x:f>
      </x:c>
      <x:c r="I1364" s="24"/>
      <x:c r="J1364" s="7"/>
      <x:c r="K1364" s="8" t="str">
        <x:f>IF(A1364="","",DATE(YEAR(A1364),MONTH(A1364),1))</x:f>
      </x:c>
    </x:row>
    <x:row r="1365">
      <x:c r="A1365" s="9"/>
      <x:c r="B1365" s="7"/>
      <x:c r="C1365" s="7" t="str">
        <x:f>IF(B1365="","",XLOOKUP(B1365,Employees!$A$4:$A$53,Employees!$B$4:$B$53,""))</x:f>
      </x:c>
      <x:c r="D1365" s="7"/>
      <x:c r="E1365" s="10" t="n">
        <x:v>8</x:v>
      </x:c>
      <x:c r="F1365" s="10"/>
      <x:c r="G1365" s="10" t="str">
        <x:f>IF(F1365="","",MIN(F1365,E1365))</x:f>
      </x:c>
      <x:c r="H1365" s="10" t="str">
        <x:f>IF(F1365="","",MAX(0,F1365-E1365))</x:f>
      </x:c>
      <x:c r="I1365" s="24"/>
      <x:c r="J1365" s="7"/>
      <x:c r="K1365" s="8" t="str">
        <x:f>IF(A1365="","",DATE(YEAR(A1365),MONTH(A1365),1))</x:f>
      </x:c>
    </x:row>
    <x:row r="1366">
      <x:c r="A1366" s="9"/>
      <x:c r="B1366" s="7"/>
      <x:c r="C1366" s="7" t="str">
        <x:f>IF(B1366="","",XLOOKUP(B1366,Employees!$A$4:$A$53,Employees!$B$4:$B$53,""))</x:f>
      </x:c>
      <x:c r="D1366" s="7"/>
      <x:c r="E1366" s="10" t="n">
        <x:v>8</x:v>
      </x:c>
      <x:c r="F1366" s="10"/>
      <x:c r="G1366" s="10" t="str">
        <x:f>IF(F1366="","",MIN(F1366,E1366))</x:f>
      </x:c>
      <x:c r="H1366" s="10" t="str">
        <x:f>IF(F1366="","",MAX(0,F1366-E1366))</x:f>
      </x:c>
      <x:c r="I1366" s="24"/>
      <x:c r="J1366" s="7"/>
      <x:c r="K1366" s="8" t="str">
        <x:f>IF(A1366="","",DATE(YEAR(A1366),MONTH(A1366),1))</x:f>
      </x:c>
    </x:row>
    <x:row r="1367">
      <x:c r="A1367" s="9"/>
      <x:c r="B1367" s="7"/>
      <x:c r="C1367" s="7" t="str">
        <x:f>IF(B1367="","",XLOOKUP(B1367,Employees!$A$4:$A$53,Employees!$B$4:$B$53,""))</x:f>
      </x:c>
      <x:c r="D1367" s="7"/>
      <x:c r="E1367" s="10" t="n">
        <x:v>8</x:v>
      </x:c>
      <x:c r="F1367" s="10"/>
      <x:c r="G1367" s="10" t="str">
        <x:f>IF(F1367="","",MIN(F1367,E1367))</x:f>
      </x:c>
      <x:c r="H1367" s="10" t="str">
        <x:f>IF(F1367="","",MAX(0,F1367-E1367))</x:f>
      </x:c>
      <x:c r="I1367" s="24"/>
      <x:c r="J1367" s="7"/>
      <x:c r="K1367" s="8" t="str">
        <x:f>IF(A1367="","",DATE(YEAR(A1367),MONTH(A1367),1))</x:f>
      </x:c>
    </x:row>
    <x:row r="1368">
      <x:c r="A1368" s="9"/>
      <x:c r="B1368" s="7"/>
      <x:c r="C1368" s="7" t="str">
        <x:f>IF(B1368="","",XLOOKUP(B1368,Employees!$A$4:$A$53,Employees!$B$4:$B$53,""))</x:f>
      </x:c>
      <x:c r="D1368" s="7"/>
      <x:c r="E1368" s="10" t="n">
        <x:v>8</x:v>
      </x:c>
      <x:c r="F1368" s="10"/>
      <x:c r="G1368" s="10" t="str">
        <x:f>IF(F1368="","",MIN(F1368,E1368))</x:f>
      </x:c>
      <x:c r="H1368" s="10" t="str">
        <x:f>IF(F1368="","",MAX(0,F1368-E1368))</x:f>
      </x:c>
      <x:c r="I1368" s="24"/>
      <x:c r="J1368" s="7"/>
      <x:c r="K1368" s="8" t="str">
        <x:f>IF(A1368="","",DATE(YEAR(A1368),MONTH(A1368),1))</x:f>
      </x:c>
    </x:row>
    <x:row r="1369">
      <x:c r="A1369" s="9"/>
      <x:c r="B1369" s="7"/>
      <x:c r="C1369" s="7" t="str">
        <x:f>IF(B1369="","",XLOOKUP(B1369,Employees!$A$4:$A$53,Employees!$B$4:$B$53,""))</x:f>
      </x:c>
      <x:c r="D1369" s="7"/>
      <x:c r="E1369" s="10" t="n">
        <x:v>8</x:v>
      </x:c>
      <x:c r="F1369" s="10"/>
      <x:c r="G1369" s="10" t="str">
        <x:f>IF(F1369="","",MIN(F1369,E1369))</x:f>
      </x:c>
      <x:c r="H1369" s="10" t="str">
        <x:f>IF(F1369="","",MAX(0,F1369-E1369))</x:f>
      </x:c>
      <x:c r="I1369" s="24"/>
      <x:c r="J1369" s="7"/>
      <x:c r="K1369" s="8" t="str">
        <x:f>IF(A1369="","",DATE(YEAR(A1369),MONTH(A1369),1))</x:f>
      </x:c>
    </x:row>
    <x:row r="1370">
      <x:c r="A1370" s="9"/>
      <x:c r="B1370" s="7"/>
      <x:c r="C1370" s="7" t="str">
        <x:f>IF(B1370="","",XLOOKUP(B1370,Employees!$A$4:$A$53,Employees!$B$4:$B$53,""))</x:f>
      </x:c>
      <x:c r="D1370" s="7"/>
      <x:c r="E1370" s="10" t="n">
        <x:v>8</x:v>
      </x:c>
      <x:c r="F1370" s="10"/>
      <x:c r="G1370" s="10" t="str">
        <x:f>IF(F1370="","",MIN(F1370,E1370))</x:f>
      </x:c>
      <x:c r="H1370" s="10" t="str">
        <x:f>IF(F1370="","",MAX(0,F1370-E1370))</x:f>
      </x:c>
      <x:c r="I1370" s="24"/>
      <x:c r="J1370" s="7"/>
      <x:c r="K1370" s="8" t="str">
        <x:f>IF(A1370="","",DATE(YEAR(A1370),MONTH(A1370),1))</x:f>
      </x:c>
    </x:row>
    <x:row r="1371">
      <x:c r="A1371" s="9"/>
      <x:c r="B1371" s="7"/>
      <x:c r="C1371" s="7" t="str">
        <x:f>IF(B1371="","",XLOOKUP(B1371,Employees!$A$4:$A$53,Employees!$B$4:$B$53,""))</x:f>
      </x:c>
      <x:c r="D1371" s="7"/>
      <x:c r="E1371" s="10" t="n">
        <x:v>8</x:v>
      </x:c>
      <x:c r="F1371" s="10"/>
      <x:c r="G1371" s="10" t="str">
        <x:f>IF(F1371="","",MIN(F1371,E1371))</x:f>
      </x:c>
      <x:c r="H1371" s="10" t="str">
        <x:f>IF(F1371="","",MAX(0,F1371-E1371))</x:f>
      </x:c>
      <x:c r="I1371" s="24"/>
      <x:c r="J1371" s="7"/>
      <x:c r="K1371" s="8" t="str">
        <x:f>IF(A1371="","",DATE(YEAR(A1371),MONTH(A1371),1))</x:f>
      </x:c>
    </x:row>
    <x:row r="1372">
      <x:c r="A1372" s="9"/>
      <x:c r="B1372" s="7"/>
      <x:c r="C1372" s="7" t="str">
        <x:f>IF(B1372="","",XLOOKUP(B1372,Employees!$A$4:$A$53,Employees!$B$4:$B$53,""))</x:f>
      </x:c>
      <x:c r="D1372" s="7"/>
      <x:c r="E1372" s="10" t="n">
        <x:v>8</x:v>
      </x:c>
      <x:c r="F1372" s="10"/>
      <x:c r="G1372" s="10" t="str">
        <x:f>IF(F1372="","",MIN(F1372,E1372))</x:f>
      </x:c>
      <x:c r="H1372" s="10" t="str">
        <x:f>IF(F1372="","",MAX(0,F1372-E1372))</x:f>
      </x:c>
      <x:c r="I1372" s="24"/>
      <x:c r="J1372" s="7"/>
      <x:c r="K1372" s="8" t="str">
        <x:f>IF(A1372="","",DATE(YEAR(A1372),MONTH(A1372),1))</x:f>
      </x:c>
    </x:row>
    <x:row r="1373">
      <x:c r="A1373" s="9"/>
      <x:c r="B1373" s="7"/>
      <x:c r="C1373" s="7" t="str">
        <x:f>IF(B1373="","",XLOOKUP(B1373,Employees!$A$4:$A$53,Employees!$B$4:$B$53,""))</x:f>
      </x:c>
      <x:c r="D1373" s="7"/>
      <x:c r="E1373" s="10" t="n">
        <x:v>8</x:v>
      </x:c>
      <x:c r="F1373" s="10"/>
      <x:c r="G1373" s="10" t="str">
        <x:f>IF(F1373="","",MIN(F1373,E1373))</x:f>
      </x:c>
      <x:c r="H1373" s="10" t="str">
        <x:f>IF(F1373="","",MAX(0,F1373-E1373))</x:f>
      </x:c>
      <x:c r="I1373" s="24"/>
      <x:c r="J1373" s="7"/>
      <x:c r="K1373" s="8" t="str">
        <x:f>IF(A1373="","",DATE(YEAR(A1373),MONTH(A1373),1))</x:f>
      </x:c>
    </x:row>
    <x:row r="1374">
      <x:c r="A1374" s="9"/>
      <x:c r="B1374" s="7"/>
      <x:c r="C1374" s="7" t="str">
        <x:f>IF(B1374="","",XLOOKUP(B1374,Employees!$A$4:$A$53,Employees!$B$4:$B$53,""))</x:f>
      </x:c>
      <x:c r="D1374" s="7"/>
      <x:c r="E1374" s="10" t="n">
        <x:v>8</x:v>
      </x:c>
      <x:c r="F1374" s="10"/>
      <x:c r="G1374" s="10" t="str">
        <x:f>IF(F1374="","",MIN(F1374,E1374))</x:f>
      </x:c>
      <x:c r="H1374" s="10" t="str">
        <x:f>IF(F1374="","",MAX(0,F1374-E1374))</x:f>
      </x:c>
      <x:c r="I1374" s="24"/>
      <x:c r="J1374" s="7"/>
      <x:c r="K1374" s="8" t="str">
        <x:f>IF(A1374="","",DATE(YEAR(A1374),MONTH(A1374),1))</x:f>
      </x:c>
    </x:row>
    <x:row r="1375">
      <x:c r="A1375" s="9"/>
      <x:c r="B1375" s="7"/>
      <x:c r="C1375" s="7" t="str">
        <x:f>IF(B1375="","",XLOOKUP(B1375,Employees!$A$4:$A$53,Employees!$B$4:$B$53,""))</x:f>
      </x:c>
      <x:c r="D1375" s="7"/>
      <x:c r="E1375" s="10" t="n">
        <x:v>8</x:v>
      </x:c>
      <x:c r="F1375" s="10"/>
      <x:c r="G1375" s="10" t="str">
        <x:f>IF(F1375="","",MIN(F1375,E1375))</x:f>
      </x:c>
      <x:c r="H1375" s="10" t="str">
        <x:f>IF(F1375="","",MAX(0,F1375-E1375))</x:f>
      </x:c>
      <x:c r="I1375" s="24"/>
      <x:c r="J1375" s="7"/>
      <x:c r="K1375" s="8" t="str">
        <x:f>IF(A1375="","",DATE(YEAR(A1375),MONTH(A1375),1))</x:f>
      </x:c>
    </x:row>
    <x:row r="1376">
      <x:c r="A1376" s="9"/>
      <x:c r="B1376" s="7"/>
      <x:c r="C1376" s="7" t="str">
        <x:f>IF(B1376="","",XLOOKUP(B1376,Employees!$A$4:$A$53,Employees!$B$4:$B$53,""))</x:f>
      </x:c>
      <x:c r="D1376" s="7"/>
      <x:c r="E1376" s="10" t="n">
        <x:v>8</x:v>
      </x:c>
      <x:c r="F1376" s="10"/>
      <x:c r="G1376" s="10" t="str">
        <x:f>IF(F1376="","",MIN(F1376,E1376))</x:f>
      </x:c>
      <x:c r="H1376" s="10" t="str">
        <x:f>IF(F1376="","",MAX(0,F1376-E1376))</x:f>
      </x:c>
      <x:c r="I1376" s="24"/>
      <x:c r="J1376" s="7"/>
      <x:c r="K1376" s="8" t="str">
        <x:f>IF(A1376="","",DATE(YEAR(A1376),MONTH(A1376),1))</x:f>
      </x:c>
    </x:row>
    <x:row r="1377">
      <x:c r="A1377" s="9"/>
      <x:c r="B1377" s="7"/>
      <x:c r="C1377" s="7" t="str">
        <x:f>IF(B1377="","",XLOOKUP(B1377,Employees!$A$4:$A$53,Employees!$B$4:$B$53,""))</x:f>
      </x:c>
      <x:c r="D1377" s="7"/>
      <x:c r="E1377" s="10" t="n">
        <x:v>8</x:v>
      </x:c>
      <x:c r="F1377" s="10"/>
      <x:c r="G1377" s="10" t="str">
        <x:f>IF(F1377="","",MIN(F1377,E1377))</x:f>
      </x:c>
      <x:c r="H1377" s="10" t="str">
        <x:f>IF(F1377="","",MAX(0,F1377-E1377))</x:f>
      </x:c>
      <x:c r="I1377" s="24"/>
      <x:c r="J1377" s="7"/>
      <x:c r="K1377" s="8" t="str">
        <x:f>IF(A1377="","",DATE(YEAR(A1377),MONTH(A1377),1))</x:f>
      </x:c>
    </x:row>
    <x:row r="1378">
      <x:c r="A1378" s="9"/>
      <x:c r="B1378" s="7"/>
      <x:c r="C1378" s="7" t="str">
        <x:f>IF(B1378="","",XLOOKUP(B1378,Employees!$A$4:$A$53,Employees!$B$4:$B$53,""))</x:f>
      </x:c>
      <x:c r="D1378" s="7"/>
      <x:c r="E1378" s="10" t="n">
        <x:v>8</x:v>
      </x:c>
      <x:c r="F1378" s="10"/>
      <x:c r="G1378" s="10" t="str">
        <x:f>IF(F1378="","",MIN(F1378,E1378))</x:f>
      </x:c>
      <x:c r="H1378" s="10" t="str">
        <x:f>IF(F1378="","",MAX(0,F1378-E1378))</x:f>
      </x:c>
      <x:c r="I1378" s="24"/>
      <x:c r="J1378" s="7"/>
      <x:c r="K1378" s="8" t="str">
        <x:f>IF(A1378="","",DATE(YEAR(A1378),MONTH(A1378),1))</x:f>
      </x:c>
    </x:row>
    <x:row r="1379">
      <x:c r="A1379" s="9"/>
      <x:c r="B1379" s="7"/>
      <x:c r="C1379" s="7" t="str">
        <x:f>IF(B1379="","",XLOOKUP(B1379,Employees!$A$4:$A$53,Employees!$B$4:$B$53,""))</x:f>
      </x:c>
      <x:c r="D1379" s="7"/>
      <x:c r="E1379" s="10" t="n">
        <x:v>8</x:v>
      </x:c>
      <x:c r="F1379" s="10"/>
      <x:c r="G1379" s="10" t="str">
        <x:f>IF(F1379="","",MIN(F1379,E1379))</x:f>
      </x:c>
      <x:c r="H1379" s="10" t="str">
        <x:f>IF(F1379="","",MAX(0,F1379-E1379))</x:f>
      </x:c>
      <x:c r="I1379" s="24"/>
      <x:c r="J1379" s="7"/>
      <x:c r="K1379" s="8" t="str">
        <x:f>IF(A1379="","",DATE(YEAR(A1379),MONTH(A1379),1))</x:f>
      </x:c>
    </x:row>
    <x:row r="1380">
      <x:c r="A1380" s="9"/>
      <x:c r="B1380" s="7"/>
      <x:c r="C1380" s="7" t="str">
        <x:f>IF(B1380="","",XLOOKUP(B1380,Employees!$A$4:$A$53,Employees!$B$4:$B$53,""))</x:f>
      </x:c>
      <x:c r="D1380" s="7"/>
      <x:c r="E1380" s="10" t="n">
        <x:v>8</x:v>
      </x:c>
      <x:c r="F1380" s="10"/>
      <x:c r="G1380" s="10" t="str">
        <x:f>IF(F1380="","",MIN(F1380,E1380))</x:f>
      </x:c>
      <x:c r="H1380" s="10" t="str">
        <x:f>IF(F1380="","",MAX(0,F1380-E1380))</x:f>
      </x:c>
      <x:c r="I1380" s="24"/>
      <x:c r="J1380" s="7"/>
      <x:c r="K1380" s="8" t="str">
        <x:f>IF(A1380="","",DATE(YEAR(A1380),MONTH(A1380),1))</x:f>
      </x:c>
    </x:row>
    <x:row r="1381">
      <x:c r="A1381" s="9"/>
      <x:c r="B1381" s="7"/>
      <x:c r="C1381" s="7" t="str">
        <x:f>IF(B1381="","",XLOOKUP(B1381,Employees!$A$4:$A$53,Employees!$B$4:$B$53,""))</x:f>
      </x:c>
      <x:c r="D1381" s="7"/>
      <x:c r="E1381" s="10" t="n">
        <x:v>8</x:v>
      </x:c>
      <x:c r="F1381" s="10"/>
      <x:c r="G1381" s="10" t="str">
        <x:f>IF(F1381="","",MIN(F1381,E1381))</x:f>
      </x:c>
      <x:c r="H1381" s="10" t="str">
        <x:f>IF(F1381="","",MAX(0,F1381-E1381))</x:f>
      </x:c>
      <x:c r="I1381" s="24"/>
      <x:c r="J1381" s="7"/>
      <x:c r="K1381" s="8" t="str">
        <x:f>IF(A1381="","",DATE(YEAR(A1381),MONTH(A1381),1))</x:f>
      </x:c>
    </x:row>
    <x:row r="1382">
      <x:c r="A1382" s="9"/>
      <x:c r="B1382" s="7"/>
      <x:c r="C1382" s="7" t="str">
        <x:f>IF(B1382="","",XLOOKUP(B1382,Employees!$A$4:$A$53,Employees!$B$4:$B$53,""))</x:f>
      </x:c>
      <x:c r="D1382" s="7"/>
      <x:c r="E1382" s="10" t="n">
        <x:v>8</x:v>
      </x:c>
      <x:c r="F1382" s="10"/>
      <x:c r="G1382" s="10" t="str">
        <x:f>IF(F1382="","",MIN(F1382,E1382))</x:f>
      </x:c>
      <x:c r="H1382" s="10" t="str">
        <x:f>IF(F1382="","",MAX(0,F1382-E1382))</x:f>
      </x:c>
      <x:c r="I1382" s="24"/>
      <x:c r="J1382" s="7"/>
      <x:c r="K1382" s="8" t="str">
        <x:f>IF(A1382="","",DATE(YEAR(A1382),MONTH(A1382),1))</x:f>
      </x:c>
    </x:row>
    <x:row r="1383">
      <x:c r="A1383" s="9"/>
      <x:c r="B1383" s="7"/>
      <x:c r="C1383" s="7" t="str">
        <x:f>IF(B1383="","",XLOOKUP(B1383,Employees!$A$4:$A$53,Employees!$B$4:$B$53,""))</x:f>
      </x:c>
      <x:c r="D1383" s="7"/>
      <x:c r="E1383" s="10" t="n">
        <x:v>8</x:v>
      </x:c>
      <x:c r="F1383" s="10"/>
      <x:c r="G1383" s="10" t="str">
        <x:f>IF(F1383="","",MIN(F1383,E1383))</x:f>
      </x:c>
      <x:c r="H1383" s="10" t="str">
        <x:f>IF(F1383="","",MAX(0,F1383-E1383))</x:f>
      </x:c>
      <x:c r="I1383" s="24"/>
      <x:c r="J1383" s="7"/>
      <x:c r="K1383" s="8" t="str">
        <x:f>IF(A1383="","",DATE(YEAR(A1383),MONTH(A1383),1))</x:f>
      </x:c>
    </x:row>
    <x:row r="1384">
      <x:c r="A1384" s="9"/>
      <x:c r="B1384" s="7"/>
      <x:c r="C1384" s="7" t="str">
        <x:f>IF(B1384="","",XLOOKUP(B1384,Employees!$A$4:$A$53,Employees!$B$4:$B$53,""))</x:f>
      </x:c>
      <x:c r="D1384" s="7"/>
      <x:c r="E1384" s="10" t="n">
        <x:v>8</x:v>
      </x:c>
      <x:c r="F1384" s="10"/>
      <x:c r="G1384" s="10" t="str">
        <x:f>IF(F1384="","",MIN(F1384,E1384))</x:f>
      </x:c>
      <x:c r="H1384" s="10" t="str">
        <x:f>IF(F1384="","",MAX(0,F1384-E1384))</x:f>
      </x:c>
      <x:c r="I1384" s="24"/>
      <x:c r="J1384" s="7"/>
      <x:c r="K1384" s="8" t="str">
        <x:f>IF(A1384="","",DATE(YEAR(A1384),MONTH(A1384),1))</x:f>
      </x:c>
    </x:row>
    <x:row r="1385">
      <x:c r="A1385" s="9"/>
      <x:c r="B1385" s="7"/>
      <x:c r="C1385" s="7" t="str">
        <x:f>IF(B1385="","",XLOOKUP(B1385,Employees!$A$4:$A$53,Employees!$B$4:$B$53,""))</x:f>
      </x:c>
      <x:c r="D1385" s="7"/>
      <x:c r="E1385" s="10" t="n">
        <x:v>8</x:v>
      </x:c>
      <x:c r="F1385" s="10"/>
      <x:c r="G1385" s="10" t="str">
        <x:f>IF(F1385="","",MIN(F1385,E1385))</x:f>
      </x:c>
      <x:c r="H1385" s="10" t="str">
        <x:f>IF(F1385="","",MAX(0,F1385-E1385))</x:f>
      </x:c>
      <x:c r="I1385" s="24"/>
      <x:c r="J1385" s="7"/>
      <x:c r="K1385" s="8" t="str">
        <x:f>IF(A1385="","",DATE(YEAR(A1385),MONTH(A1385),1))</x:f>
      </x:c>
    </x:row>
    <x:row r="1386">
      <x:c r="A1386" s="9"/>
      <x:c r="B1386" s="7"/>
      <x:c r="C1386" s="7" t="str">
        <x:f>IF(B1386="","",XLOOKUP(B1386,Employees!$A$4:$A$53,Employees!$B$4:$B$53,""))</x:f>
      </x:c>
      <x:c r="D1386" s="7"/>
      <x:c r="E1386" s="10" t="n">
        <x:v>8</x:v>
      </x:c>
      <x:c r="F1386" s="10"/>
      <x:c r="G1386" s="10" t="str">
        <x:f>IF(F1386="","",MIN(F1386,E1386))</x:f>
      </x:c>
      <x:c r="H1386" s="10" t="str">
        <x:f>IF(F1386="","",MAX(0,F1386-E1386))</x:f>
      </x:c>
      <x:c r="I1386" s="24"/>
      <x:c r="J1386" s="7"/>
      <x:c r="K1386" s="8" t="str">
        <x:f>IF(A1386="","",DATE(YEAR(A1386),MONTH(A1386),1))</x:f>
      </x:c>
    </x:row>
    <x:row r="1387">
      <x:c r="A1387" s="9"/>
      <x:c r="B1387" s="7"/>
      <x:c r="C1387" s="7" t="str">
        <x:f>IF(B1387="","",XLOOKUP(B1387,Employees!$A$4:$A$53,Employees!$B$4:$B$53,""))</x:f>
      </x:c>
      <x:c r="D1387" s="7"/>
      <x:c r="E1387" s="10" t="n">
        <x:v>8</x:v>
      </x:c>
      <x:c r="F1387" s="10"/>
      <x:c r="G1387" s="10" t="str">
        <x:f>IF(F1387="","",MIN(F1387,E1387))</x:f>
      </x:c>
      <x:c r="H1387" s="10" t="str">
        <x:f>IF(F1387="","",MAX(0,F1387-E1387))</x:f>
      </x:c>
      <x:c r="I1387" s="24"/>
      <x:c r="J1387" s="7"/>
      <x:c r="K1387" s="8" t="str">
        <x:f>IF(A1387="","",DATE(YEAR(A1387),MONTH(A1387),1))</x:f>
      </x:c>
    </x:row>
    <x:row r="1388">
      <x:c r="A1388" s="9"/>
      <x:c r="B1388" s="7"/>
      <x:c r="C1388" s="7" t="str">
        <x:f>IF(B1388="","",XLOOKUP(B1388,Employees!$A$4:$A$53,Employees!$B$4:$B$53,""))</x:f>
      </x:c>
      <x:c r="D1388" s="7"/>
      <x:c r="E1388" s="10" t="n">
        <x:v>8</x:v>
      </x:c>
      <x:c r="F1388" s="10"/>
      <x:c r="G1388" s="10" t="str">
        <x:f>IF(F1388="","",MIN(F1388,E1388))</x:f>
      </x:c>
      <x:c r="H1388" s="10" t="str">
        <x:f>IF(F1388="","",MAX(0,F1388-E1388))</x:f>
      </x:c>
      <x:c r="I1388" s="24"/>
      <x:c r="J1388" s="7"/>
      <x:c r="K1388" s="8" t="str">
        <x:f>IF(A1388="","",DATE(YEAR(A1388),MONTH(A1388),1))</x:f>
      </x:c>
    </x:row>
    <x:row r="1389">
      <x:c r="A1389" s="9"/>
      <x:c r="B1389" s="7"/>
      <x:c r="C1389" s="7" t="str">
        <x:f>IF(B1389="","",XLOOKUP(B1389,Employees!$A$4:$A$53,Employees!$B$4:$B$53,""))</x:f>
      </x:c>
      <x:c r="D1389" s="7"/>
      <x:c r="E1389" s="10" t="n">
        <x:v>8</x:v>
      </x:c>
      <x:c r="F1389" s="10"/>
      <x:c r="G1389" s="10" t="str">
        <x:f>IF(F1389="","",MIN(F1389,E1389))</x:f>
      </x:c>
      <x:c r="H1389" s="10" t="str">
        <x:f>IF(F1389="","",MAX(0,F1389-E1389))</x:f>
      </x:c>
      <x:c r="I1389" s="24"/>
      <x:c r="J1389" s="7"/>
      <x:c r="K1389" s="8" t="str">
        <x:f>IF(A1389="","",DATE(YEAR(A1389),MONTH(A1389),1))</x:f>
      </x:c>
    </x:row>
    <x:row r="1390">
      <x:c r="A1390" s="9"/>
      <x:c r="B1390" s="7"/>
      <x:c r="C1390" s="7" t="str">
        <x:f>IF(B1390="","",XLOOKUP(B1390,Employees!$A$4:$A$53,Employees!$B$4:$B$53,""))</x:f>
      </x:c>
      <x:c r="D1390" s="7"/>
      <x:c r="E1390" s="10" t="n">
        <x:v>8</x:v>
      </x:c>
      <x:c r="F1390" s="10"/>
      <x:c r="G1390" s="10" t="str">
        <x:f>IF(F1390="","",MIN(F1390,E1390))</x:f>
      </x:c>
      <x:c r="H1390" s="10" t="str">
        <x:f>IF(F1390="","",MAX(0,F1390-E1390))</x:f>
      </x:c>
      <x:c r="I1390" s="24"/>
      <x:c r="J1390" s="7"/>
      <x:c r="K1390" s="8" t="str">
        <x:f>IF(A1390="","",DATE(YEAR(A1390),MONTH(A1390),1))</x:f>
      </x:c>
    </x:row>
    <x:row r="1391">
      <x:c r="A1391" s="9"/>
      <x:c r="B1391" s="7"/>
      <x:c r="C1391" s="7" t="str">
        <x:f>IF(B1391="","",XLOOKUP(B1391,Employees!$A$4:$A$53,Employees!$B$4:$B$53,""))</x:f>
      </x:c>
      <x:c r="D1391" s="7"/>
      <x:c r="E1391" s="10" t="n">
        <x:v>8</x:v>
      </x:c>
      <x:c r="F1391" s="10"/>
      <x:c r="G1391" s="10" t="str">
        <x:f>IF(F1391="","",MIN(F1391,E1391))</x:f>
      </x:c>
      <x:c r="H1391" s="10" t="str">
        <x:f>IF(F1391="","",MAX(0,F1391-E1391))</x:f>
      </x:c>
      <x:c r="I1391" s="24"/>
      <x:c r="J1391" s="7"/>
      <x:c r="K1391" s="8" t="str">
        <x:f>IF(A1391="","",DATE(YEAR(A1391),MONTH(A1391),1))</x:f>
      </x:c>
    </x:row>
    <x:row r="1392">
      <x:c r="A1392" s="9"/>
      <x:c r="B1392" s="7"/>
      <x:c r="C1392" s="7" t="str">
        <x:f>IF(B1392="","",XLOOKUP(B1392,Employees!$A$4:$A$53,Employees!$B$4:$B$53,""))</x:f>
      </x:c>
      <x:c r="D1392" s="7"/>
      <x:c r="E1392" s="10" t="n">
        <x:v>8</x:v>
      </x:c>
      <x:c r="F1392" s="10"/>
      <x:c r="G1392" s="10" t="str">
        <x:f>IF(F1392="","",MIN(F1392,E1392))</x:f>
      </x:c>
      <x:c r="H1392" s="10" t="str">
        <x:f>IF(F1392="","",MAX(0,F1392-E1392))</x:f>
      </x:c>
      <x:c r="I1392" s="24"/>
      <x:c r="J1392" s="7"/>
      <x:c r="K1392" s="8" t="str">
        <x:f>IF(A1392="","",DATE(YEAR(A1392),MONTH(A1392),1))</x:f>
      </x:c>
    </x:row>
    <x:row r="1393">
      <x:c r="A1393" s="9"/>
      <x:c r="B1393" s="7"/>
      <x:c r="C1393" s="7" t="str">
        <x:f>IF(B1393="","",XLOOKUP(B1393,Employees!$A$4:$A$53,Employees!$B$4:$B$53,""))</x:f>
      </x:c>
      <x:c r="D1393" s="7"/>
      <x:c r="E1393" s="10" t="n">
        <x:v>8</x:v>
      </x:c>
      <x:c r="F1393" s="10"/>
      <x:c r="G1393" s="10" t="str">
        <x:f>IF(F1393="","",MIN(F1393,E1393))</x:f>
      </x:c>
      <x:c r="H1393" s="10" t="str">
        <x:f>IF(F1393="","",MAX(0,F1393-E1393))</x:f>
      </x:c>
      <x:c r="I1393" s="24"/>
      <x:c r="J1393" s="7"/>
      <x:c r="K1393" s="8" t="str">
        <x:f>IF(A1393="","",DATE(YEAR(A1393),MONTH(A1393),1))</x:f>
      </x:c>
    </x:row>
    <x:row r="1394">
      <x:c r="A1394" s="9"/>
      <x:c r="B1394" s="7"/>
      <x:c r="C1394" s="7" t="str">
        <x:f>IF(B1394="","",XLOOKUP(B1394,Employees!$A$4:$A$53,Employees!$B$4:$B$53,""))</x:f>
      </x:c>
      <x:c r="D1394" s="7"/>
      <x:c r="E1394" s="10" t="n">
        <x:v>8</x:v>
      </x:c>
      <x:c r="F1394" s="10"/>
      <x:c r="G1394" s="10" t="str">
        <x:f>IF(F1394="","",MIN(F1394,E1394))</x:f>
      </x:c>
      <x:c r="H1394" s="10" t="str">
        <x:f>IF(F1394="","",MAX(0,F1394-E1394))</x:f>
      </x:c>
      <x:c r="I1394" s="24"/>
      <x:c r="J1394" s="7"/>
      <x:c r="K1394" s="8" t="str">
        <x:f>IF(A1394="","",DATE(YEAR(A1394),MONTH(A1394),1))</x:f>
      </x:c>
    </x:row>
    <x:row r="1395">
      <x:c r="A1395" s="9"/>
      <x:c r="B1395" s="7"/>
      <x:c r="C1395" s="7" t="str">
        <x:f>IF(B1395="","",XLOOKUP(B1395,Employees!$A$4:$A$53,Employees!$B$4:$B$53,""))</x:f>
      </x:c>
      <x:c r="D1395" s="7"/>
      <x:c r="E1395" s="10" t="n">
        <x:v>8</x:v>
      </x:c>
      <x:c r="F1395" s="10"/>
      <x:c r="G1395" s="10" t="str">
        <x:f>IF(F1395="","",MIN(F1395,E1395))</x:f>
      </x:c>
      <x:c r="H1395" s="10" t="str">
        <x:f>IF(F1395="","",MAX(0,F1395-E1395))</x:f>
      </x:c>
      <x:c r="I1395" s="24"/>
      <x:c r="J1395" s="7"/>
      <x:c r="K1395" s="8" t="str">
        <x:f>IF(A1395="","",DATE(YEAR(A1395),MONTH(A1395),1))</x:f>
      </x:c>
    </x:row>
    <x:row r="1396">
      <x:c r="A1396" s="9"/>
      <x:c r="B1396" s="7"/>
      <x:c r="C1396" s="7" t="str">
        <x:f>IF(B1396="","",XLOOKUP(B1396,Employees!$A$4:$A$53,Employees!$B$4:$B$53,""))</x:f>
      </x:c>
      <x:c r="D1396" s="7"/>
      <x:c r="E1396" s="10" t="n">
        <x:v>8</x:v>
      </x:c>
      <x:c r="F1396" s="10"/>
      <x:c r="G1396" s="10" t="str">
        <x:f>IF(F1396="","",MIN(F1396,E1396))</x:f>
      </x:c>
      <x:c r="H1396" s="10" t="str">
        <x:f>IF(F1396="","",MAX(0,F1396-E1396))</x:f>
      </x:c>
      <x:c r="I1396" s="24"/>
      <x:c r="J1396" s="7"/>
      <x:c r="K1396" s="8" t="str">
        <x:f>IF(A1396="","",DATE(YEAR(A1396),MONTH(A1396),1))</x:f>
      </x:c>
    </x:row>
    <x:row r="1397">
      <x:c r="A1397" s="9"/>
      <x:c r="B1397" s="7"/>
      <x:c r="C1397" s="7" t="str">
        <x:f>IF(B1397="","",XLOOKUP(B1397,Employees!$A$4:$A$53,Employees!$B$4:$B$53,""))</x:f>
      </x:c>
      <x:c r="D1397" s="7"/>
      <x:c r="E1397" s="10" t="n">
        <x:v>8</x:v>
      </x:c>
      <x:c r="F1397" s="10"/>
      <x:c r="G1397" s="10" t="str">
        <x:f>IF(F1397="","",MIN(F1397,E1397))</x:f>
      </x:c>
      <x:c r="H1397" s="10" t="str">
        <x:f>IF(F1397="","",MAX(0,F1397-E1397))</x:f>
      </x:c>
      <x:c r="I1397" s="24"/>
      <x:c r="J1397" s="7"/>
      <x:c r="K1397" s="8" t="str">
        <x:f>IF(A1397="","",DATE(YEAR(A1397),MONTH(A1397),1))</x:f>
      </x:c>
    </x:row>
    <x:row r="1398">
      <x:c r="A1398" s="9"/>
      <x:c r="B1398" s="7"/>
      <x:c r="C1398" s="7" t="str">
        <x:f>IF(B1398="","",XLOOKUP(B1398,Employees!$A$4:$A$53,Employees!$B$4:$B$53,""))</x:f>
      </x:c>
      <x:c r="D1398" s="7"/>
      <x:c r="E1398" s="10" t="n">
        <x:v>8</x:v>
      </x:c>
      <x:c r="F1398" s="10"/>
      <x:c r="G1398" s="10" t="str">
        <x:f>IF(F1398="","",MIN(F1398,E1398))</x:f>
      </x:c>
      <x:c r="H1398" s="10" t="str">
        <x:f>IF(F1398="","",MAX(0,F1398-E1398))</x:f>
      </x:c>
      <x:c r="I1398" s="24"/>
      <x:c r="J1398" s="7"/>
      <x:c r="K1398" s="8" t="str">
        <x:f>IF(A1398="","",DATE(YEAR(A1398),MONTH(A1398),1))</x:f>
      </x:c>
    </x:row>
    <x:row r="1399">
      <x:c r="A1399" s="9"/>
      <x:c r="B1399" s="7"/>
      <x:c r="C1399" s="7" t="str">
        <x:f>IF(B1399="","",XLOOKUP(B1399,Employees!$A$4:$A$53,Employees!$B$4:$B$53,""))</x:f>
      </x:c>
      <x:c r="D1399" s="7"/>
      <x:c r="E1399" s="10" t="n">
        <x:v>8</x:v>
      </x:c>
      <x:c r="F1399" s="10"/>
      <x:c r="G1399" s="10" t="str">
        <x:f>IF(F1399="","",MIN(F1399,E1399))</x:f>
      </x:c>
      <x:c r="H1399" s="10" t="str">
        <x:f>IF(F1399="","",MAX(0,F1399-E1399))</x:f>
      </x:c>
      <x:c r="I1399" s="24"/>
      <x:c r="J1399" s="7"/>
      <x:c r="K1399" s="8" t="str">
        <x:f>IF(A1399="","",DATE(YEAR(A1399),MONTH(A1399),1))</x:f>
      </x:c>
    </x:row>
    <x:row r="1400">
      <x:c r="A1400" s="9"/>
      <x:c r="B1400" s="7"/>
      <x:c r="C1400" s="7" t="str">
        <x:f>IF(B1400="","",XLOOKUP(B1400,Employees!$A$4:$A$53,Employees!$B$4:$B$53,""))</x:f>
      </x:c>
      <x:c r="D1400" s="7"/>
      <x:c r="E1400" s="10" t="n">
        <x:v>8</x:v>
      </x:c>
      <x:c r="F1400" s="10"/>
      <x:c r="G1400" s="10" t="str">
        <x:f>IF(F1400="","",MIN(F1400,E1400))</x:f>
      </x:c>
      <x:c r="H1400" s="10" t="str">
        <x:f>IF(F1400="","",MAX(0,F1400-E1400))</x:f>
      </x:c>
      <x:c r="I1400" s="24"/>
      <x:c r="J1400" s="7"/>
      <x:c r="K1400" s="8" t="str">
        <x:f>IF(A1400="","",DATE(YEAR(A1400),MONTH(A1400),1))</x:f>
      </x:c>
    </x:row>
    <x:row r="1401">
      <x:c r="A1401" s="9"/>
      <x:c r="B1401" s="7"/>
      <x:c r="C1401" s="7" t="str">
        <x:f>IF(B1401="","",XLOOKUP(B1401,Employees!$A$4:$A$53,Employees!$B$4:$B$53,""))</x:f>
      </x:c>
      <x:c r="D1401" s="7"/>
      <x:c r="E1401" s="10" t="n">
        <x:v>8</x:v>
      </x:c>
      <x:c r="F1401" s="10"/>
      <x:c r="G1401" s="10" t="str">
        <x:f>IF(F1401="","",MIN(F1401,E1401))</x:f>
      </x:c>
      <x:c r="H1401" s="10" t="str">
        <x:f>IF(F1401="","",MAX(0,F1401-E1401))</x:f>
      </x:c>
      <x:c r="I1401" s="24"/>
      <x:c r="J1401" s="7"/>
      <x:c r="K1401" s="8" t="str">
        <x:f>IF(A1401="","",DATE(YEAR(A1401),MONTH(A1401),1))</x:f>
      </x:c>
    </x:row>
    <x:row r="1402">
      <x:c r="A1402" s="9"/>
      <x:c r="B1402" s="7"/>
      <x:c r="C1402" s="7" t="str">
        <x:f>IF(B1402="","",XLOOKUP(B1402,Employees!$A$4:$A$53,Employees!$B$4:$B$53,""))</x:f>
      </x:c>
      <x:c r="D1402" s="7"/>
      <x:c r="E1402" s="10" t="n">
        <x:v>8</x:v>
      </x:c>
      <x:c r="F1402" s="10"/>
      <x:c r="G1402" s="10" t="str">
        <x:f>IF(F1402="","",MIN(F1402,E1402))</x:f>
      </x:c>
      <x:c r="H1402" s="10" t="str">
        <x:f>IF(F1402="","",MAX(0,F1402-E1402))</x:f>
      </x:c>
      <x:c r="I1402" s="24"/>
      <x:c r="J1402" s="7"/>
      <x:c r="K1402" s="8" t="str">
        <x:f>IF(A1402="","",DATE(YEAR(A1402),MONTH(A1402),1))</x:f>
      </x:c>
    </x:row>
    <x:row r="1403">
      <x:c r="A1403" s="9"/>
      <x:c r="B1403" s="7"/>
      <x:c r="C1403" s="7" t="str">
        <x:f>IF(B1403="","",XLOOKUP(B1403,Employees!$A$4:$A$53,Employees!$B$4:$B$53,""))</x:f>
      </x:c>
      <x:c r="D1403" s="7"/>
      <x:c r="E1403" s="10" t="n">
        <x:v>8</x:v>
      </x:c>
      <x:c r="F1403" s="10"/>
      <x:c r="G1403" s="10" t="str">
        <x:f>IF(F1403="","",MIN(F1403,E1403))</x:f>
      </x:c>
      <x:c r="H1403" s="10" t="str">
        <x:f>IF(F1403="","",MAX(0,F1403-E1403))</x:f>
      </x:c>
      <x:c r="I1403" s="24"/>
      <x:c r="J1403" s="7"/>
      <x:c r="K1403" s="8" t="str">
        <x:f>IF(A1403="","",DATE(YEAR(A1403),MONTH(A1403),1))</x:f>
      </x:c>
    </x:row>
    <x:row r="1404">
      <x:c r="A1404" s="9"/>
      <x:c r="B1404" s="7"/>
      <x:c r="C1404" s="7" t="str">
        <x:f>IF(B1404="","",XLOOKUP(B1404,Employees!$A$4:$A$53,Employees!$B$4:$B$53,""))</x:f>
      </x:c>
      <x:c r="D1404" s="7"/>
      <x:c r="E1404" s="10" t="n">
        <x:v>8</x:v>
      </x:c>
      <x:c r="F1404" s="10"/>
      <x:c r="G1404" s="10" t="str">
        <x:f>IF(F1404="","",MIN(F1404,E1404))</x:f>
      </x:c>
      <x:c r="H1404" s="10" t="str">
        <x:f>IF(F1404="","",MAX(0,F1404-E1404))</x:f>
      </x:c>
      <x:c r="I1404" s="24"/>
      <x:c r="J1404" s="7"/>
      <x:c r="K1404" s="8" t="str">
        <x:f>IF(A1404="","",DATE(YEAR(A1404),MONTH(A1404),1))</x:f>
      </x:c>
    </x:row>
    <x:row r="1405">
      <x:c r="A1405" s="9"/>
      <x:c r="B1405" s="7"/>
      <x:c r="C1405" s="7" t="str">
        <x:f>IF(B1405="","",XLOOKUP(B1405,Employees!$A$4:$A$53,Employees!$B$4:$B$53,""))</x:f>
      </x:c>
      <x:c r="D1405" s="7"/>
      <x:c r="E1405" s="10" t="n">
        <x:v>8</x:v>
      </x:c>
      <x:c r="F1405" s="10"/>
      <x:c r="G1405" s="10" t="str">
        <x:f>IF(F1405="","",MIN(F1405,E1405))</x:f>
      </x:c>
      <x:c r="H1405" s="10" t="str">
        <x:f>IF(F1405="","",MAX(0,F1405-E1405))</x:f>
      </x:c>
      <x:c r="I1405" s="24"/>
      <x:c r="J1405" s="7"/>
      <x:c r="K1405" s="8" t="str">
        <x:f>IF(A1405="","",DATE(YEAR(A1405),MONTH(A1405),1))</x:f>
      </x:c>
    </x:row>
    <x:row r="1406">
      <x:c r="A1406" s="9"/>
      <x:c r="B1406" s="7"/>
      <x:c r="C1406" s="7" t="str">
        <x:f>IF(B1406="","",XLOOKUP(B1406,Employees!$A$4:$A$53,Employees!$B$4:$B$53,""))</x:f>
      </x:c>
      <x:c r="D1406" s="7"/>
      <x:c r="E1406" s="10" t="n">
        <x:v>8</x:v>
      </x:c>
      <x:c r="F1406" s="10"/>
      <x:c r="G1406" s="10" t="str">
        <x:f>IF(F1406="","",MIN(F1406,E1406))</x:f>
      </x:c>
      <x:c r="H1406" s="10" t="str">
        <x:f>IF(F1406="","",MAX(0,F1406-E1406))</x:f>
      </x:c>
      <x:c r="I1406" s="24"/>
      <x:c r="J1406" s="7"/>
      <x:c r="K1406" s="8" t="str">
        <x:f>IF(A1406="","",DATE(YEAR(A1406),MONTH(A1406),1))</x:f>
      </x:c>
    </x:row>
    <x:row r="1407">
      <x:c r="A1407" s="9"/>
      <x:c r="B1407" s="7"/>
      <x:c r="C1407" s="7" t="str">
        <x:f>IF(B1407="","",XLOOKUP(B1407,Employees!$A$4:$A$53,Employees!$B$4:$B$53,""))</x:f>
      </x:c>
      <x:c r="D1407" s="7"/>
      <x:c r="E1407" s="10" t="n">
        <x:v>8</x:v>
      </x:c>
      <x:c r="F1407" s="10"/>
      <x:c r="G1407" s="10" t="str">
        <x:f>IF(F1407="","",MIN(F1407,E1407))</x:f>
      </x:c>
      <x:c r="H1407" s="10" t="str">
        <x:f>IF(F1407="","",MAX(0,F1407-E1407))</x:f>
      </x:c>
      <x:c r="I1407" s="24"/>
      <x:c r="J1407" s="7"/>
      <x:c r="K1407" s="8" t="str">
        <x:f>IF(A1407="","",DATE(YEAR(A1407),MONTH(A1407),1))</x:f>
      </x:c>
    </x:row>
    <x:row r="1408">
      <x:c r="A1408" s="9"/>
      <x:c r="B1408" s="7"/>
      <x:c r="C1408" s="7" t="str">
        <x:f>IF(B1408="","",XLOOKUP(B1408,Employees!$A$4:$A$53,Employees!$B$4:$B$53,""))</x:f>
      </x:c>
      <x:c r="D1408" s="7"/>
      <x:c r="E1408" s="10" t="n">
        <x:v>8</x:v>
      </x:c>
      <x:c r="F1408" s="10"/>
      <x:c r="G1408" s="10" t="str">
        <x:f>IF(F1408="","",MIN(F1408,E1408))</x:f>
      </x:c>
      <x:c r="H1408" s="10" t="str">
        <x:f>IF(F1408="","",MAX(0,F1408-E1408))</x:f>
      </x:c>
      <x:c r="I1408" s="24"/>
      <x:c r="J1408" s="7"/>
      <x:c r="K1408" s="8" t="str">
        <x:f>IF(A1408="","",DATE(YEAR(A1408),MONTH(A1408),1))</x:f>
      </x:c>
    </x:row>
    <x:row r="1409">
      <x:c r="A1409" s="9"/>
      <x:c r="B1409" s="7"/>
      <x:c r="C1409" s="7" t="str">
        <x:f>IF(B1409="","",XLOOKUP(B1409,Employees!$A$4:$A$53,Employees!$B$4:$B$53,""))</x:f>
      </x:c>
      <x:c r="D1409" s="7"/>
      <x:c r="E1409" s="10" t="n">
        <x:v>8</x:v>
      </x:c>
      <x:c r="F1409" s="10"/>
      <x:c r="G1409" s="10" t="str">
        <x:f>IF(F1409="","",MIN(F1409,E1409))</x:f>
      </x:c>
      <x:c r="H1409" s="10" t="str">
        <x:f>IF(F1409="","",MAX(0,F1409-E1409))</x:f>
      </x:c>
      <x:c r="I1409" s="24"/>
      <x:c r="J1409" s="7"/>
      <x:c r="K1409" s="8" t="str">
        <x:f>IF(A1409="","",DATE(YEAR(A1409),MONTH(A1409),1))</x:f>
      </x:c>
    </x:row>
    <x:row r="1410">
      <x:c r="A1410" s="9"/>
      <x:c r="B1410" s="7"/>
      <x:c r="C1410" s="7" t="str">
        <x:f>IF(B1410="","",XLOOKUP(B1410,Employees!$A$4:$A$53,Employees!$B$4:$B$53,""))</x:f>
      </x:c>
      <x:c r="D1410" s="7"/>
      <x:c r="E1410" s="10" t="n">
        <x:v>8</x:v>
      </x:c>
      <x:c r="F1410" s="10"/>
      <x:c r="G1410" s="10" t="str">
        <x:f>IF(F1410="","",MIN(F1410,E1410))</x:f>
      </x:c>
      <x:c r="H1410" s="10" t="str">
        <x:f>IF(F1410="","",MAX(0,F1410-E1410))</x:f>
      </x:c>
      <x:c r="I1410" s="24"/>
      <x:c r="J1410" s="7"/>
      <x:c r="K1410" s="8" t="str">
        <x:f>IF(A1410="","",DATE(YEAR(A1410),MONTH(A1410),1))</x:f>
      </x:c>
    </x:row>
    <x:row r="1411">
      <x:c r="A1411" s="9"/>
      <x:c r="B1411" s="7"/>
      <x:c r="C1411" s="7" t="str">
        <x:f>IF(B1411="","",XLOOKUP(B1411,Employees!$A$4:$A$53,Employees!$B$4:$B$53,""))</x:f>
      </x:c>
      <x:c r="D1411" s="7"/>
      <x:c r="E1411" s="10" t="n">
        <x:v>8</x:v>
      </x:c>
      <x:c r="F1411" s="10"/>
      <x:c r="G1411" s="10" t="str">
        <x:f>IF(F1411="","",MIN(F1411,E1411))</x:f>
      </x:c>
      <x:c r="H1411" s="10" t="str">
        <x:f>IF(F1411="","",MAX(0,F1411-E1411))</x:f>
      </x:c>
      <x:c r="I1411" s="24"/>
      <x:c r="J1411" s="7"/>
      <x:c r="K1411" s="8" t="str">
        <x:f>IF(A1411="","",DATE(YEAR(A1411),MONTH(A1411),1))</x:f>
      </x:c>
    </x:row>
    <x:row r="1412">
      <x:c r="A1412" s="9"/>
      <x:c r="B1412" s="7"/>
      <x:c r="C1412" s="7" t="str">
        <x:f>IF(B1412="","",XLOOKUP(B1412,Employees!$A$4:$A$53,Employees!$B$4:$B$53,""))</x:f>
      </x:c>
      <x:c r="D1412" s="7"/>
      <x:c r="E1412" s="10" t="n">
        <x:v>8</x:v>
      </x:c>
      <x:c r="F1412" s="10"/>
      <x:c r="G1412" s="10" t="str">
        <x:f>IF(F1412="","",MIN(F1412,E1412))</x:f>
      </x:c>
      <x:c r="H1412" s="10" t="str">
        <x:f>IF(F1412="","",MAX(0,F1412-E1412))</x:f>
      </x:c>
      <x:c r="I1412" s="24"/>
      <x:c r="J1412" s="7"/>
      <x:c r="K1412" s="8" t="str">
        <x:f>IF(A1412="","",DATE(YEAR(A1412),MONTH(A1412),1))</x:f>
      </x:c>
    </x:row>
    <x:row r="1413">
      <x:c r="A1413" s="9"/>
      <x:c r="B1413" s="7"/>
      <x:c r="C1413" s="7" t="str">
        <x:f>IF(B1413="","",XLOOKUP(B1413,Employees!$A$4:$A$53,Employees!$B$4:$B$53,""))</x:f>
      </x:c>
      <x:c r="D1413" s="7"/>
      <x:c r="E1413" s="10" t="n">
        <x:v>8</x:v>
      </x:c>
      <x:c r="F1413" s="10"/>
      <x:c r="G1413" s="10" t="str">
        <x:f>IF(F1413="","",MIN(F1413,E1413))</x:f>
      </x:c>
      <x:c r="H1413" s="10" t="str">
        <x:f>IF(F1413="","",MAX(0,F1413-E1413))</x:f>
      </x:c>
      <x:c r="I1413" s="24"/>
      <x:c r="J1413" s="7"/>
      <x:c r="K1413" s="8" t="str">
        <x:f>IF(A1413="","",DATE(YEAR(A1413),MONTH(A1413),1))</x:f>
      </x:c>
    </x:row>
    <x:row r="1414">
      <x:c r="A1414" s="9"/>
      <x:c r="B1414" s="7"/>
      <x:c r="C1414" s="7" t="str">
        <x:f>IF(B1414="","",XLOOKUP(B1414,Employees!$A$4:$A$53,Employees!$B$4:$B$53,""))</x:f>
      </x:c>
      <x:c r="D1414" s="7"/>
      <x:c r="E1414" s="10" t="n">
        <x:v>8</x:v>
      </x:c>
      <x:c r="F1414" s="10"/>
      <x:c r="G1414" s="10" t="str">
        <x:f>IF(F1414="","",MIN(F1414,E1414))</x:f>
      </x:c>
      <x:c r="H1414" s="10" t="str">
        <x:f>IF(F1414="","",MAX(0,F1414-E1414))</x:f>
      </x:c>
      <x:c r="I1414" s="24"/>
      <x:c r="J1414" s="7"/>
      <x:c r="K1414" s="8" t="str">
        <x:f>IF(A1414="","",DATE(YEAR(A1414),MONTH(A1414),1))</x:f>
      </x:c>
    </x:row>
    <x:row r="1415">
      <x:c r="A1415" s="9"/>
      <x:c r="B1415" s="7"/>
      <x:c r="C1415" s="7" t="str">
        <x:f>IF(B1415="","",XLOOKUP(B1415,Employees!$A$4:$A$53,Employees!$B$4:$B$53,""))</x:f>
      </x:c>
      <x:c r="D1415" s="7"/>
      <x:c r="E1415" s="10" t="n">
        <x:v>8</x:v>
      </x:c>
      <x:c r="F1415" s="10"/>
      <x:c r="G1415" s="10" t="str">
        <x:f>IF(F1415="","",MIN(F1415,E1415))</x:f>
      </x:c>
      <x:c r="H1415" s="10" t="str">
        <x:f>IF(F1415="","",MAX(0,F1415-E1415))</x:f>
      </x:c>
      <x:c r="I1415" s="24"/>
      <x:c r="J1415" s="7"/>
      <x:c r="K1415" s="8" t="str">
        <x:f>IF(A1415="","",DATE(YEAR(A1415),MONTH(A1415),1))</x:f>
      </x:c>
    </x:row>
    <x:row r="1416">
      <x:c r="A1416" s="9"/>
      <x:c r="B1416" s="7"/>
      <x:c r="C1416" s="7" t="str">
        <x:f>IF(B1416="","",XLOOKUP(B1416,Employees!$A$4:$A$53,Employees!$B$4:$B$53,""))</x:f>
      </x:c>
      <x:c r="D1416" s="7"/>
      <x:c r="E1416" s="10" t="n">
        <x:v>8</x:v>
      </x:c>
      <x:c r="F1416" s="10"/>
      <x:c r="G1416" s="10" t="str">
        <x:f>IF(F1416="","",MIN(F1416,E1416))</x:f>
      </x:c>
      <x:c r="H1416" s="10" t="str">
        <x:f>IF(F1416="","",MAX(0,F1416-E1416))</x:f>
      </x:c>
      <x:c r="I1416" s="24"/>
      <x:c r="J1416" s="7"/>
      <x:c r="K1416" s="8" t="str">
        <x:f>IF(A1416="","",DATE(YEAR(A1416),MONTH(A1416),1))</x:f>
      </x:c>
    </x:row>
    <x:row r="1417">
      <x:c r="A1417" s="9"/>
      <x:c r="B1417" s="7"/>
      <x:c r="C1417" s="7" t="str">
        <x:f>IF(B1417="","",XLOOKUP(B1417,Employees!$A$4:$A$53,Employees!$B$4:$B$53,""))</x:f>
      </x:c>
      <x:c r="D1417" s="7"/>
      <x:c r="E1417" s="10" t="n">
        <x:v>8</x:v>
      </x:c>
      <x:c r="F1417" s="10"/>
      <x:c r="G1417" s="10" t="str">
        <x:f>IF(F1417="","",MIN(F1417,E1417))</x:f>
      </x:c>
      <x:c r="H1417" s="10" t="str">
        <x:f>IF(F1417="","",MAX(0,F1417-E1417))</x:f>
      </x:c>
      <x:c r="I1417" s="24"/>
      <x:c r="J1417" s="7"/>
      <x:c r="K1417" s="8" t="str">
        <x:f>IF(A1417="","",DATE(YEAR(A1417),MONTH(A1417),1))</x:f>
      </x:c>
    </x:row>
    <x:row r="1418">
      <x:c r="A1418" s="9"/>
      <x:c r="B1418" s="7"/>
      <x:c r="C1418" s="7" t="str">
        <x:f>IF(B1418="","",XLOOKUP(B1418,Employees!$A$4:$A$53,Employees!$B$4:$B$53,""))</x:f>
      </x:c>
      <x:c r="D1418" s="7"/>
      <x:c r="E1418" s="10" t="n">
        <x:v>8</x:v>
      </x:c>
      <x:c r="F1418" s="10"/>
      <x:c r="G1418" s="10" t="str">
        <x:f>IF(F1418="","",MIN(F1418,E1418))</x:f>
      </x:c>
      <x:c r="H1418" s="10" t="str">
        <x:f>IF(F1418="","",MAX(0,F1418-E1418))</x:f>
      </x:c>
      <x:c r="I1418" s="24"/>
      <x:c r="J1418" s="7"/>
      <x:c r="K1418" s="8" t="str">
        <x:f>IF(A1418="","",DATE(YEAR(A1418),MONTH(A1418),1))</x:f>
      </x:c>
    </x:row>
    <x:row r="1419">
      <x:c r="A1419" s="9"/>
      <x:c r="B1419" s="7"/>
      <x:c r="C1419" s="7" t="str">
        <x:f>IF(B1419="","",XLOOKUP(B1419,Employees!$A$4:$A$53,Employees!$B$4:$B$53,""))</x:f>
      </x:c>
      <x:c r="D1419" s="7"/>
      <x:c r="E1419" s="10" t="n">
        <x:v>8</x:v>
      </x:c>
      <x:c r="F1419" s="10"/>
      <x:c r="G1419" s="10" t="str">
        <x:f>IF(F1419="","",MIN(F1419,E1419))</x:f>
      </x:c>
      <x:c r="H1419" s="10" t="str">
        <x:f>IF(F1419="","",MAX(0,F1419-E1419))</x:f>
      </x:c>
      <x:c r="I1419" s="24"/>
      <x:c r="J1419" s="7"/>
      <x:c r="K1419" s="8" t="str">
        <x:f>IF(A1419="","",DATE(YEAR(A1419),MONTH(A1419),1))</x:f>
      </x:c>
    </x:row>
    <x:row r="1420">
      <x:c r="A1420" s="9"/>
      <x:c r="B1420" s="7"/>
      <x:c r="C1420" s="7" t="str">
        <x:f>IF(B1420="","",XLOOKUP(B1420,Employees!$A$4:$A$53,Employees!$B$4:$B$53,""))</x:f>
      </x:c>
      <x:c r="D1420" s="7"/>
      <x:c r="E1420" s="10" t="n">
        <x:v>8</x:v>
      </x:c>
      <x:c r="F1420" s="10"/>
      <x:c r="G1420" s="10" t="str">
        <x:f>IF(F1420="","",MIN(F1420,E1420))</x:f>
      </x:c>
      <x:c r="H1420" s="10" t="str">
        <x:f>IF(F1420="","",MAX(0,F1420-E1420))</x:f>
      </x:c>
      <x:c r="I1420" s="24"/>
      <x:c r="J1420" s="7"/>
      <x:c r="K1420" s="8" t="str">
        <x:f>IF(A1420="","",DATE(YEAR(A1420),MONTH(A1420),1))</x:f>
      </x:c>
    </x:row>
    <x:row r="1421">
      <x:c r="A1421" s="9"/>
      <x:c r="B1421" s="7"/>
      <x:c r="C1421" s="7" t="str">
        <x:f>IF(B1421="","",XLOOKUP(B1421,Employees!$A$4:$A$53,Employees!$B$4:$B$53,""))</x:f>
      </x:c>
      <x:c r="D1421" s="7"/>
      <x:c r="E1421" s="10" t="n">
        <x:v>8</x:v>
      </x:c>
      <x:c r="F1421" s="10"/>
      <x:c r="G1421" s="10" t="str">
        <x:f>IF(F1421="","",MIN(F1421,E1421))</x:f>
      </x:c>
      <x:c r="H1421" s="10" t="str">
        <x:f>IF(F1421="","",MAX(0,F1421-E1421))</x:f>
      </x:c>
      <x:c r="I1421" s="24"/>
      <x:c r="J1421" s="7"/>
      <x:c r="K1421" s="8" t="str">
        <x:f>IF(A1421="","",DATE(YEAR(A1421),MONTH(A1421),1))</x:f>
      </x:c>
    </x:row>
    <x:row r="1422">
      <x:c r="A1422" s="9"/>
      <x:c r="B1422" s="7"/>
      <x:c r="C1422" s="7" t="str">
        <x:f>IF(B1422="","",XLOOKUP(B1422,Employees!$A$4:$A$53,Employees!$B$4:$B$53,""))</x:f>
      </x:c>
      <x:c r="D1422" s="7"/>
      <x:c r="E1422" s="10" t="n">
        <x:v>8</x:v>
      </x:c>
      <x:c r="F1422" s="10"/>
      <x:c r="G1422" s="10" t="str">
        <x:f>IF(F1422="","",MIN(F1422,E1422))</x:f>
      </x:c>
      <x:c r="H1422" s="10" t="str">
        <x:f>IF(F1422="","",MAX(0,F1422-E1422))</x:f>
      </x:c>
      <x:c r="I1422" s="24"/>
      <x:c r="J1422" s="7"/>
      <x:c r="K1422" s="8" t="str">
        <x:f>IF(A1422="","",DATE(YEAR(A1422),MONTH(A1422),1))</x:f>
      </x:c>
    </x:row>
    <x:row r="1423">
      <x:c r="A1423" s="9"/>
      <x:c r="B1423" s="7"/>
      <x:c r="C1423" s="7" t="str">
        <x:f>IF(B1423="","",XLOOKUP(B1423,Employees!$A$4:$A$53,Employees!$B$4:$B$53,""))</x:f>
      </x:c>
      <x:c r="D1423" s="7"/>
      <x:c r="E1423" s="10" t="n">
        <x:v>8</x:v>
      </x:c>
      <x:c r="F1423" s="10"/>
      <x:c r="G1423" s="10" t="str">
        <x:f>IF(F1423="","",MIN(F1423,E1423))</x:f>
      </x:c>
      <x:c r="H1423" s="10" t="str">
        <x:f>IF(F1423="","",MAX(0,F1423-E1423))</x:f>
      </x:c>
      <x:c r="I1423" s="24"/>
      <x:c r="J1423" s="7"/>
      <x:c r="K1423" s="8" t="str">
        <x:f>IF(A1423="","",DATE(YEAR(A1423),MONTH(A1423),1))</x:f>
      </x:c>
    </x:row>
    <x:row r="1424">
      <x:c r="A1424" s="9"/>
      <x:c r="B1424" s="7"/>
      <x:c r="C1424" s="7" t="str">
        <x:f>IF(B1424="","",XLOOKUP(B1424,Employees!$A$4:$A$53,Employees!$B$4:$B$53,""))</x:f>
      </x:c>
      <x:c r="D1424" s="7"/>
      <x:c r="E1424" s="10" t="n">
        <x:v>8</x:v>
      </x:c>
      <x:c r="F1424" s="10"/>
      <x:c r="G1424" s="10" t="str">
        <x:f>IF(F1424="","",MIN(F1424,E1424))</x:f>
      </x:c>
      <x:c r="H1424" s="10" t="str">
        <x:f>IF(F1424="","",MAX(0,F1424-E1424))</x:f>
      </x:c>
      <x:c r="I1424" s="24"/>
      <x:c r="J1424" s="7"/>
      <x:c r="K1424" s="8" t="str">
        <x:f>IF(A1424="","",DATE(YEAR(A1424),MONTH(A1424),1))</x:f>
      </x:c>
    </x:row>
    <x:row r="1425">
      <x:c r="A1425" s="9"/>
      <x:c r="B1425" s="7"/>
      <x:c r="C1425" s="7" t="str">
        <x:f>IF(B1425="","",XLOOKUP(B1425,Employees!$A$4:$A$53,Employees!$B$4:$B$53,""))</x:f>
      </x:c>
      <x:c r="D1425" s="7"/>
      <x:c r="E1425" s="10" t="n">
        <x:v>8</x:v>
      </x:c>
      <x:c r="F1425" s="10"/>
      <x:c r="G1425" s="10" t="str">
        <x:f>IF(F1425="","",MIN(F1425,E1425))</x:f>
      </x:c>
      <x:c r="H1425" s="10" t="str">
        <x:f>IF(F1425="","",MAX(0,F1425-E1425))</x:f>
      </x:c>
      <x:c r="I1425" s="24"/>
      <x:c r="J1425" s="7"/>
      <x:c r="K1425" s="8" t="str">
        <x:f>IF(A1425="","",DATE(YEAR(A1425),MONTH(A1425),1))</x:f>
      </x:c>
    </x:row>
    <x:row r="1426">
      <x:c r="A1426" s="9"/>
      <x:c r="B1426" s="7"/>
      <x:c r="C1426" s="7" t="str">
        <x:f>IF(B1426="","",XLOOKUP(B1426,Employees!$A$4:$A$53,Employees!$B$4:$B$53,""))</x:f>
      </x:c>
      <x:c r="D1426" s="7"/>
      <x:c r="E1426" s="10" t="n">
        <x:v>8</x:v>
      </x:c>
      <x:c r="F1426" s="10"/>
      <x:c r="G1426" s="10" t="str">
        <x:f>IF(F1426="","",MIN(F1426,E1426))</x:f>
      </x:c>
      <x:c r="H1426" s="10" t="str">
        <x:f>IF(F1426="","",MAX(0,F1426-E1426))</x:f>
      </x:c>
      <x:c r="I1426" s="24"/>
      <x:c r="J1426" s="7"/>
      <x:c r="K1426" s="8" t="str">
        <x:f>IF(A1426="","",DATE(YEAR(A1426),MONTH(A1426),1))</x:f>
      </x:c>
    </x:row>
    <x:row r="1427">
      <x:c r="A1427" s="9"/>
      <x:c r="B1427" s="7"/>
      <x:c r="C1427" s="7" t="str">
        <x:f>IF(B1427="","",XLOOKUP(B1427,Employees!$A$4:$A$53,Employees!$B$4:$B$53,""))</x:f>
      </x:c>
      <x:c r="D1427" s="7"/>
      <x:c r="E1427" s="10" t="n">
        <x:v>8</x:v>
      </x:c>
      <x:c r="F1427" s="10"/>
      <x:c r="G1427" s="10" t="str">
        <x:f>IF(F1427="","",MIN(F1427,E1427))</x:f>
      </x:c>
      <x:c r="H1427" s="10" t="str">
        <x:f>IF(F1427="","",MAX(0,F1427-E1427))</x:f>
      </x:c>
      <x:c r="I1427" s="24"/>
      <x:c r="J1427" s="7"/>
      <x:c r="K1427" s="8" t="str">
        <x:f>IF(A1427="","",DATE(YEAR(A1427),MONTH(A1427),1))</x:f>
      </x:c>
    </x:row>
    <x:row r="1428">
      <x:c r="A1428" s="9"/>
      <x:c r="B1428" s="7"/>
      <x:c r="C1428" s="7" t="str">
        <x:f>IF(B1428="","",XLOOKUP(B1428,Employees!$A$4:$A$53,Employees!$B$4:$B$53,""))</x:f>
      </x:c>
      <x:c r="D1428" s="7"/>
      <x:c r="E1428" s="10" t="n">
        <x:v>8</x:v>
      </x:c>
      <x:c r="F1428" s="10"/>
      <x:c r="G1428" s="10" t="str">
        <x:f>IF(F1428="","",MIN(F1428,E1428))</x:f>
      </x:c>
      <x:c r="H1428" s="10" t="str">
        <x:f>IF(F1428="","",MAX(0,F1428-E1428))</x:f>
      </x:c>
      <x:c r="I1428" s="24"/>
      <x:c r="J1428" s="7"/>
      <x:c r="K1428" s="8" t="str">
        <x:f>IF(A1428="","",DATE(YEAR(A1428),MONTH(A1428),1))</x:f>
      </x:c>
    </x:row>
    <x:row r="1429">
      <x:c r="A1429" s="9"/>
      <x:c r="B1429" s="7"/>
      <x:c r="C1429" s="7" t="str">
        <x:f>IF(B1429="","",XLOOKUP(B1429,Employees!$A$4:$A$53,Employees!$B$4:$B$53,""))</x:f>
      </x:c>
      <x:c r="D1429" s="7"/>
      <x:c r="E1429" s="10" t="n">
        <x:v>8</x:v>
      </x:c>
      <x:c r="F1429" s="10"/>
      <x:c r="G1429" s="10" t="str">
        <x:f>IF(F1429="","",MIN(F1429,E1429))</x:f>
      </x:c>
      <x:c r="H1429" s="10" t="str">
        <x:f>IF(F1429="","",MAX(0,F1429-E1429))</x:f>
      </x:c>
      <x:c r="I1429" s="24"/>
      <x:c r="J1429" s="7"/>
      <x:c r="K1429" s="8" t="str">
        <x:f>IF(A1429="","",DATE(YEAR(A1429),MONTH(A1429),1))</x:f>
      </x:c>
    </x:row>
    <x:row r="1430">
      <x:c r="A1430" s="9"/>
      <x:c r="B1430" s="7"/>
      <x:c r="C1430" s="7" t="str">
        <x:f>IF(B1430="","",XLOOKUP(B1430,Employees!$A$4:$A$53,Employees!$B$4:$B$53,""))</x:f>
      </x:c>
      <x:c r="D1430" s="7"/>
      <x:c r="E1430" s="10" t="n">
        <x:v>8</x:v>
      </x:c>
      <x:c r="F1430" s="10"/>
      <x:c r="G1430" s="10" t="str">
        <x:f>IF(F1430="","",MIN(F1430,E1430))</x:f>
      </x:c>
      <x:c r="H1430" s="10" t="str">
        <x:f>IF(F1430="","",MAX(0,F1430-E1430))</x:f>
      </x:c>
      <x:c r="I1430" s="24"/>
      <x:c r="J1430" s="7"/>
      <x:c r="K1430" s="8" t="str">
        <x:f>IF(A1430="","",DATE(YEAR(A1430),MONTH(A1430),1))</x:f>
      </x:c>
    </x:row>
    <x:row r="1431">
      <x:c r="A1431" s="9"/>
      <x:c r="B1431" s="7"/>
      <x:c r="C1431" s="7" t="str">
        <x:f>IF(B1431="","",XLOOKUP(B1431,Employees!$A$4:$A$53,Employees!$B$4:$B$53,""))</x:f>
      </x:c>
      <x:c r="D1431" s="7"/>
      <x:c r="E1431" s="10" t="n">
        <x:v>8</x:v>
      </x:c>
      <x:c r="F1431" s="10"/>
      <x:c r="G1431" s="10" t="str">
        <x:f>IF(F1431="","",MIN(F1431,E1431))</x:f>
      </x:c>
      <x:c r="H1431" s="10" t="str">
        <x:f>IF(F1431="","",MAX(0,F1431-E1431))</x:f>
      </x:c>
      <x:c r="I1431" s="24"/>
      <x:c r="J1431" s="7"/>
      <x:c r="K1431" s="8" t="str">
        <x:f>IF(A1431="","",DATE(YEAR(A1431),MONTH(A1431),1))</x:f>
      </x:c>
    </x:row>
    <x:row r="1432">
      <x:c r="A1432" s="9"/>
      <x:c r="B1432" s="7"/>
      <x:c r="C1432" s="7" t="str">
        <x:f>IF(B1432="","",XLOOKUP(B1432,Employees!$A$4:$A$53,Employees!$B$4:$B$53,""))</x:f>
      </x:c>
      <x:c r="D1432" s="7"/>
      <x:c r="E1432" s="10" t="n">
        <x:v>8</x:v>
      </x:c>
      <x:c r="F1432" s="10"/>
      <x:c r="G1432" s="10" t="str">
        <x:f>IF(F1432="","",MIN(F1432,E1432))</x:f>
      </x:c>
      <x:c r="H1432" s="10" t="str">
        <x:f>IF(F1432="","",MAX(0,F1432-E1432))</x:f>
      </x:c>
      <x:c r="I1432" s="24"/>
      <x:c r="J1432" s="7"/>
      <x:c r="K1432" s="8" t="str">
        <x:f>IF(A1432="","",DATE(YEAR(A1432),MONTH(A1432),1))</x:f>
      </x:c>
    </x:row>
    <x:row r="1433">
      <x:c r="A1433" s="9"/>
      <x:c r="B1433" s="7"/>
      <x:c r="C1433" s="7" t="str">
        <x:f>IF(B1433="","",XLOOKUP(B1433,Employees!$A$4:$A$53,Employees!$B$4:$B$53,""))</x:f>
      </x:c>
      <x:c r="D1433" s="7"/>
      <x:c r="E1433" s="10" t="n">
        <x:v>8</x:v>
      </x:c>
      <x:c r="F1433" s="10"/>
      <x:c r="G1433" s="10" t="str">
        <x:f>IF(F1433="","",MIN(F1433,E1433))</x:f>
      </x:c>
      <x:c r="H1433" s="10" t="str">
        <x:f>IF(F1433="","",MAX(0,F1433-E1433))</x:f>
      </x:c>
      <x:c r="I1433" s="24"/>
      <x:c r="J1433" s="7"/>
      <x:c r="K1433" s="8" t="str">
        <x:f>IF(A1433="","",DATE(YEAR(A1433),MONTH(A1433),1))</x:f>
      </x:c>
    </x:row>
    <x:row r="1434">
      <x:c r="A1434" s="9"/>
      <x:c r="B1434" s="7"/>
      <x:c r="C1434" s="7" t="str">
        <x:f>IF(B1434="","",XLOOKUP(B1434,Employees!$A$4:$A$53,Employees!$B$4:$B$53,""))</x:f>
      </x:c>
      <x:c r="D1434" s="7"/>
      <x:c r="E1434" s="10" t="n">
        <x:v>8</x:v>
      </x:c>
      <x:c r="F1434" s="10"/>
      <x:c r="G1434" s="10" t="str">
        <x:f>IF(F1434="","",MIN(F1434,E1434))</x:f>
      </x:c>
      <x:c r="H1434" s="10" t="str">
        <x:f>IF(F1434="","",MAX(0,F1434-E1434))</x:f>
      </x:c>
      <x:c r="I1434" s="24"/>
      <x:c r="J1434" s="7"/>
      <x:c r="K1434" s="8" t="str">
        <x:f>IF(A1434="","",DATE(YEAR(A1434),MONTH(A1434),1))</x:f>
      </x:c>
    </x:row>
    <x:row r="1435">
      <x:c r="A1435" s="9"/>
      <x:c r="B1435" s="7"/>
      <x:c r="C1435" s="7" t="str">
        <x:f>IF(B1435="","",XLOOKUP(B1435,Employees!$A$4:$A$53,Employees!$B$4:$B$53,""))</x:f>
      </x:c>
      <x:c r="D1435" s="7"/>
      <x:c r="E1435" s="10" t="n">
        <x:v>8</x:v>
      </x:c>
      <x:c r="F1435" s="10"/>
      <x:c r="G1435" s="10" t="str">
        <x:f>IF(F1435="","",MIN(F1435,E1435))</x:f>
      </x:c>
      <x:c r="H1435" s="10" t="str">
        <x:f>IF(F1435="","",MAX(0,F1435-E1435))</x:f>
      </x:c>
      <x:c r="I1435" s="24"/>
      <x:c r="J1435" s="7"/>
      <x:c r="K1435" s="8" t="str">
        <x:f>IF(A1435="","",DATE(YEAR(A1435),MONTH(A1435),1))</x:f>
      </x:c>
    </x:row>
    <x:row r="1436">
      <x:c r="A1436" s="9"/>
      <x:c r="B1436" s="7"/>
      <x:c r="C1436" s="7" t="str">
        <x:f>IF(B1436="","",XLOOKUP(B1436,Employees!$A$4:$A$53,Employees!$B$4:$B$53,""))</x:f>
      </x:c>
      <x:c r="D1436" s="7"/>
      <x:c r="E1436" s="10" t="n">
        <x:v>8</x:v>
      </x:c>
      <x:c r="F1436" s="10"/>
      <x:c r="G1436" s="10" t="str">
        <x:f>IF(F1436="","",MIN(F1436,E1436))</x:f>
      </x:c>
      <x:c r="H1436" s="10" t="str">
        <x:f>IF(F1436="","",MAX(0,F1436-E1436))</x:f>
      </x:c>
      <x:c r="I1436" s="24"/>
      <x:c r="J1436" s="7"/>
      <x:c r="K1436" s="8" t="str">
        <x:f>IF(A1436="","",DATE(YEAR(A1436),MONTH(A1436),1))</x:f>
      </x:c>
    </x:row>
    <x:row r="1437">
      <x:c r="A1437" s="9"/>
      <x:c r="B1437" s="7"/>
      <x:c r="C1437" s="7" t="str">
        <x:f>IF(B1437="","",XLOOKUP(B1437,Employees!$A$4:$A$53,Employees!$B$4:$B$53,""))</x:f>
      </x:c>
      <x:c r="D1437" s="7"/>
      <x:c r="E1437" s="10" t="n">
        <x:v>8</x:v>
      </x:c>
      <x:c r="F1437" s="10"/>
      <x:c r="G1437" s="10" t="str">
        <x:f>IF(F1437="","",MIN(F1437,E1437))</x:f>
      </x:c>
      <x:c r="H1437" s="10" t="str">
        <x:f>IF(F1437="","",MAX(0,F1437-E1437))</x:f>
      </x:c>
      <x:c r="I1437" s="24"/>
      <x:c r="J1437" s="7"/>
      <x:c r="K1437" s="8" t="str">
        <x:f>IF(A1437="","",DATE(YEAR(A1437),MONTH(A1437),1))</x:f>
      </x:c>
    </x:row>
    <x:row r="1438">
      <x:c r="A1438" s="9"/>
      <x:c r="B1438" s="7"/>
      <x:c r="C1438" s="7" t="str">
        <x:f>IF(B1438="","",XLOOKUP(B1438,Employees!$A$4:$A$53,Employees!$B$4:$B$53,""))</x:f>
      </x:c>
      <x:c r="D1438" s="7"/>
      <x:c r="E1438" s="10" t="n">
        <x:v>8</x:v>
      </x:c>
      <x:c r="F1438" s="10"/>
      <x:c r="G1438" s="10" t="str">
        <x:f>IF(F1438="","",MIN(F1438,E1438))</x:f>
      </x:c>
      <x:c r="H1438" s="10" t="str">
        <x:f>IF(F1438="","",MAX(0,F1438-E1438))</x:f>
      </x:c>
      <x:c r="I1438" s="24"/>
      <x:c r="J1438" s="7"/>
      <x:c r="K1438" s="8" t="str">
        <x:f>IF(A1438="","",DATE(YEAR(A1438),MONTH(A1438),1))</x:f>
      </x:c>
    </x:row>
    <x:row r="1439">
      <x:c r="A1439" s="9"/>
      <x:c r="B1439" s="7"/>
      <x:c r="C1439" s="7" t="str">
        <x:f>IF(B1439="","",XLOOKUP(B1439,Employees!$A$4:$A$53,Employees!$B$4:$B$53,""))</x:f>
      </x:c>
      <x:c r="D1439" s="7"/>
      <x:c r="E1439" s="10" t="n">
        <x:v>8</x:v>
      </x:c>
      <x:c r="F1439" s="10"/>
      <x:c r="G1439" s="10" t="str">
        <x:f>IF(F1439="","",MIN(F1439,E1439))</x:f>
      </x:c>
      <x:c r="H1439" s="10" t="str">
        <x:f>IF(F1439="","",MAX(0,F1439-E1439))</x:f>
      </x:c>
      <x:c r="I1439" s="24"/>
      <x:c r="J1439" s="7"/>
      <x:c r="K1439" s="8" t="str">
        <x:f>IF(A1439="","",DATE(YEAR(A1439),MONTH(A1439),1))</x:f>
      </x:c>
    </x:row>
    <x:row r="1440">
      <x:c r="A1440" s="9"/>
      <x:c r="B1440" s="7"/>
      <x:c r="C1440" s="7" t="str">
        <x:f>IF(B1440="","",XLOOKUP(B1440,Employees!$A$4:$A$53,Employees!$B$4:$B$53,""))</x:f>
      </x:c>
      <x:c r="D1440" s="7"/>
      <x:c r="E1440" s="10" t="n">
        <x:v>8</x:v>
      </x:c>
      <x:c r="F1440" s="10"/>
      <x:c r="G1440" s="10" t="str">
        <x:f>IF(F1440="","",MIN(F1440,E1440))</x:f>
      </x:c>
      <x:c r="H1440" s="10" t="str">
        <x:f>IF(F1440="","",MAX(0,F1440-E1440))</x:f>
      </x:c>
      <x:c r="I1440" s="24"/>
      <x:c r="J1440" s="7"/>
      <x:c r="K1440" s="8" t="str">
        <x:f>IF(A1440="","",DATE(YEAR(A1440),MONTH(A1440),1))</x:f>
      </x:c>
    </x:row>
    <x:row r="1441">
      <x:c r="A1441" s="9"/>
      <x:c r="B1441" s="7"/>
      <x:c r="C1441" s="7" t="str">
        <x:f>IF(B1441="","",XLOOKUP(B1441,Employees!$A$4:$A$53,Employees!$B$4:$B$53,""))</x:f>
      </x:c>
      <x:c r="D1441" s="7"/>
      <x:c r="E1441" s="10" t="n">
        <x:v>8</x:v>
      </x:c>
      <x:c r="F1441" s="10"/>
      <x:c r="G1441" s="10" t="str">
        <x:f>IF(F1441="","",MIN(F1441,E1441))</x:f>
      </x:c>
      <x:c r="H1441" s="10" t="str">
        <x:f>IF(F1441="","",MAX(0,F1441-E1441))</x:f>
      </x:c>
      <x:c r="I1441" s="24"/>
      <x:c r="J1441" s="7"/>
      <x:c r="K1441" s="8" t="str">
        <x:f>IF(A1441="","",DATE(YEAR(A1441),MONTH(A1441),1))</x:f>
      </x:c>
    </x:row>
    <x:row r="1442">
      <x:c r="A1442" s="9"/>
      <x:c r="B1442" s="7"/>
      <x:c r="C1442" s="7" t="str">
        <x:f>IF(B1442="","",XLOOKUP(B1442,Employees!$A$4:$A$53,Employees!$B$4:$B$53,""))</x:f>
      </x:c>
      <x:c r="D1442" s="7"/>
      <x:c r="E1442" s="10" t="n">
        <x:v>8</x:v>
      </x:c>
      <x:c r="F1442" s="10"/>
      <x:c r="G1442" s="10" t="str">
        <x:f>IF(F1442="","",MIN(F1442,E1442))</x:f>
      </x:c>
      <x:c r="H1442" s="10" t="str">
        <x:f>IF(F1442="","",MAX(0,F1442-E1442))</x:f>
      </x:c>
      <x:c r="I1442" s="24"/>
      <x:c r="J1442" s="7"/>
      <x:c r="K1442" s="8" t="str">
        <x:f>IF(A1442="","",DATE(YEAR(A1442),MONTH(A1442),1))</x:f>
      </x:c>
    </x:row>
    <x:row r="1443">
      <x:c r="A1443" s="9"/>
      <x:c r="B1443" s="7"/>
      <x:c r="C1443" s="7" t="str">
        <x:f>IF(B1443="","",XLOOKUP(B1443,Employees!$A$4:$A$53,Employees!$B$4:$B$53,""))</x:f>
      </x:c>
      <x:c r="D1443" s="7"/>
      <x:c r="E1443" s="10" t="n">
        <x:v>8</x:v>
      </x:c>
      <x:c r="F1443" s="10"/>
      <x:c r="G1443" s="10" t="str">
        <x:f>IF(F1443="","",MIN(F1443,E1443))</x:f>
      </x:c>
      <x:c r="H1443" s="10" t="str">
        <x:f>IF(F1443="","",MAX(0,F1443-E1443))</x:f>
      </x:c>
      <x:c r="I1443" s="24"/>
      <x:c r="J1443" s="7"/>
      <x:c r="K1443" s="8" t="str">
        <x:f>IF(A1443="","",DATE(YEAR(A1443),MONTH(A1443),1))</x:f>
      </x:c>
    </x:row>
    <x:row r="1444">
      <x:c r="A1444" s="9"/>
      <x:c r="B1444" s="7"/>
      <x:c r="C1444" s="7" t="str">
        <x:f>IF(B1444="","",XLOOKUP(B1444,Employees!$A$4:$A$53,Employees!$B$4:$B$53,""))</x:f>
      </x:c>
      <x:c r="D1444" s="7"/>
      <x:c r="E1444" s="10" t="n">
        <x:v>8</x:v>
      </x:c>
      <x:c r="F1444" s="10"/>
      <x:c r="G1444" s="10" t="str">
        <x:f>IF(F1444="","",MIN(F1444,E1444))</x:f>
      </x:c>
      <x:c r="H1444" s="10" t="str">
        <x:f>IF(F1444="","",MAX(0,F1444-E1444))</x:f>
      </x:c>
      <x:c r="I1444" s="24"/>
      <x:c r="J1444" s="7"/>
      <x:c r="K1444" s="8" t="str">
        <x:f>IF(A1444="","",DATE(YEAR(A1444),MONTH(A1444),1))</x:f>
      </x:c>
    </x:row>
    <x:row r="1445">
      <x:c r="A1445" s="9"/>
      <x:c r="B1445" s="7"/>
      <x:c r="C1445" s="7" t="str">
        <x:f>IF(B1445="","",XLOOKUP(B1445,Employees!$A$4:$A$53,Employees!$B$4:$B$53,""))</x:f>
      </x:c>
      <x:c r="D1445" s="7"/>
      <x:c r="E1445" s="10" t="n">
        <x:v>8</x:v>
      </x:c>
      <x:c r="F1445" s="10"/>
      <x:c r="G1445" s="10" t="str">
        <x:f>IF(F1445="","",MIN(F1445,E1445))</x:f>
      </x:c>
      <x:c r="H1445" s="10" t="str">
        <x:f>IF(F1445="","",MAX(0,F1445-E1445))</x:f>
      </x:c>
      <x:c r="I1445" s="24"/>
      <x:c r="J1445" s="7"/>
      <x:c r="K1445" s="8" t="str">
        <x:f>IF(A1445="","",DATE(YEAR(A1445),MONTH(A1445),1))</x:f>
      </x:c>
    </x:row>
    <x:row r="1446">
      <x:c r="A1446" s="9"/>
      <x:c r="B1446" s="7"/>
      <x:c r="C1446" s="7" t="str">
        <x:f>IF(B1446="","",XLOOKUP(B1446,Employees!$A$4:$A$53,Employees!$B$4:$B$53,""))</x:f>
      </x:c>
      <x:c r="D1446" s="7"/>
      <x:c r="E1446" s="10" t="n">
        <x:v>8</x:v>
      </x:c>
      <x:c r="F1446" s="10"/>
      <x:c r="G1446" s="10" t="str">
        <x:f>IF(F1446="","",MIN(F1446,E1446))</x:f>
      </x:c>
      <x:c r="H1446" s="10" t="str">
        <x:f>IF(F1446="","",MAX(0,F1446-E1446))</x:f>
      </x:c>
      <x:c r="I1446" s="24"/>
      <x:c r="J1446" s="7"/>
      <x:c r="K1446" s="8" t="str">
        <x:f>IF(A1446="","",DATE(YEAR(A1446),MONTH(A1446),1))</x:f>
      </x:c>
    </x:row>
    <x:row r="1447">
      <x:c r="A1447" s="9"/>
      <x:c r="B1447" s="7"/>
      <x:c r="C1447" s="7" t="str">
        <x:f>IF(B1447="","",XLOOKUP(B1447,Employees!$A$4:$A$53,Employees!$B$4:$B$53,""))</x:f>
      </x:c>
      <x:c r="D1447" s="7"/>
      <x:c r="E1447" s="10" t="n">
        <x:v>8</x:v>
      </x:c>
      <x:c r="F1447" s="10"/>
      <x:c r="G1447" s="10" t="str">
        <x:f>IF(F1447="","",MIN(F1447,E1447))</x:f>
      </x:c>
      <x:c r="H1447" s="10" t="str">
        <x:f>IF(F1447="","",MAX(0,F1447-E1447))</x:f>
      </x:c>
      <x:c r="I1447" s="24"/>
      <x:c r="J1447" s="7"/>
      <x:c r="K1447" s="8" t="str">
        <x:f>IF(A1447="","",DATE(YEAR(A1447),MONTH(A1447),1))</x:f>
      </x:c>
    </x:row>
    <x:row r="1448">
      <x:c r="A1448" s="9"/>
      <x:c r="B1448" s="7"/>
      <x:c r="C1448" s="7" t="str">
        <x:f>IF(B1448="","",XLOOKUP(B1448,Employees!$A$4:$A$53,Employees!$B$4:$B$53,""))</x:f>
      </x:c>
      <x:c r="D1448" s="7"/>
      <x:c r="E1448" s="10" t="n">
        <x:v>8</x:v>
      </x:c>
      <x:c r="F1448" s="10"/>
      <x:c r="G1448" s="10" t="str">
        <x:f>IF(F1448="","",MIN(F1448,E1448))</x:f>
      </x:c>
      <x:c r="H1448" s="10" t="str">
        <x:f>IF(F1448="","",MAX(0,F1448-E1448))</x:f>
      </x:c>
      <x:c r="I1448" s="24"/>
      <x:c r="J1448" s="7"/>
      <x:c r="K1448" s="8" t="str">
        <x:f>IF(A1448="","",DATE(YEAR(A1448),MONTH(A1448),1))</x:f>
      </x:c>
    </x:row>
    <x:row r="1449">
      <x:c r="A1449" s="9"/>
      <x:c r="B1449" s="7"/>
      <x:c r="C1449" s="7" t="str">
        <x:f>IF(B1449="","",XLOOKUP(B1449,Employees!$A$4:$A$53,Employees!$B$4:$B$53,""))</x:f>
      </x:c>
      <x:c r="D1449" s="7"/>
      <x:c r="E1449" s="10" t="n">
        <x:v>8</x:v>
      </x:c>
      <x:c r="F1449" s="10"/>
      <x:c r="G1449" s="10" t="str">
        <x:f>IF(F1449="","",MIN(F1449,E1449))</x:f>
      </x:c>
      <x:c r="H1449" s="10" t="str">
        <x:f>IF(F1449="","",MAX(0,F1449-E1449))</x:f>
      </x:c>
      <x:c r="I1449" s="24"/>
      <x:c r="J1449" s="7"/>
      <x:c r="K1449" s="8" t="str">
        <x:f>IF(A1449="","",DATE(YEAR(A1449),MONTH(A1449),1))</x:f>
      </x:c>
    </x:row>
    <x:row r="1450">
      <x:c r="A1450" s="9"/>
      <x:c r="B1450" s="7"/>
      <x:c r="C1450" s="7" t="str">
        <x:f>IF(B1450="","",XLOOKUP(B1450,Employees!$A$4:$A$53,Employees!$B$4:$B$53,""))</x:f>
      </x:c>
      <x:c r="D1450" s="7"/>
      <x:c r="E1450" s="10" t="n">
        <x:v>8</x:v>
      </x:c>
      <x:c r="F1450" s="10"/>
      <x:c r="G1450" s="10" t="str">
        <x:f>IF(F1450="","",MIN(F1450,E1450))</x:f>
      </x:c>
      <x:c r="H1450" s="10" t="str">
        <x:f>IF(F1450="","",MAX(0,F1450-E1450))</x:f>
      </x:c>
      <x:c r="I1450" s="24"/>
      <x:c r="J1450" s="7"/>
      <x:c r="K1450" s="8" t="str">
        <x:f>IF(A1450="","",DATE(YEAR(A1450),MONTH(A1450),1))</x:f>
      </x:c>
    </x:row>
    <x:row r="1451">
      <x:c r="A1451" s="9"/>
      <x:c r="B1451" s="7"/>
      <x:c r="C1451" s="7" t="str">
        <x:f>IF(B1451="","",XLOOKUP(B1451,Employees!$A$4:$A$53,Employees!$B$4:$B$53,""))</x:f>
      </x:c>
      <x:c r="D1451" s="7"/>
      <x:c r="E1451" s="10" t="n">
        <x:v>8</x:v>
      </x:c>
      <x:c r="F1451" s="10"/>
      <x:c r="G1451" s="10" t="str">
        <x:f>IF(F1451="","",MIN(F1451,E1451))</x:f>
      </x:c>
      <x:c r="H1451" s="10" t="str">
        <x:f>IF(F1451="","",MAX(0,F1451-E1451))</x:f>
      </x:c>
      <x:c r="I1451" s="24"/>
      <x:c r="J1451" s="7"/>
      <x:c r="K1451" s="8" t="str">
        <x:f>IF(A1451="","",DATE(YEAR(A1451),MONTH(A1451),1))</x:f>
      </x:c>
    </x:row>
    <x:row r="1452">
      <x:c r="A1452" s="9"/>
      <x:c r="B1452" s="7"/>
      <x:c r="C1452" s="7" t="str">
        <x:f>IF(B1452="","",XLOOKUP(B1452,Employees!$A$4:$A$53,Employees!$B$4:$B$53,""))</x:f>
      </x:c>
      <x:c r="D1452" s="7"/>
      <x:c r="E1452" s="10" t="n">
        <x:v>8</x:v>
      </x:c>
      <x:c r="F1452" s="10"/>
      <x:c r="G1452" s="10" t="str">
        <x:f>IF(F1452="","",MIN(F1452,E1452))</x:f>
      </x:c>
      <x:c r="H1452" s="10" t="str">
        <x:f>IF(F1452="","",MAX(0,F1452-E1452))</x:f>
      </x:c>
      <x:c r="I1452" s="24"/>
      <x:c r="J1452" s="7"/>
      <x:c r="K1452" s="8" t="str">
        <x:f>IF(A1452="","",DATE(YEAR(A1452),MONTH(A1452),1))</x:f>
      </x:c>
    </x:row>
    <x:row r="1453">
      <x:c r="A1453" s="9"/>
      <x:c r="B1453" s="7"/>
      <x:c r="C1453" s="7" t="str">
        <x:f>IF(B1453="","",XLOOKUP(B1453,Employees!$A$4:$A$53,Employees!$B$4:$B$53,""))</x:f>
      </x:c>
      <x:c r="D1453" s="7"/>
      <x:c r="E1453" s="10" t="n">
        <x:v>8</x:v>
      </x:c>
      <x:c r="F1453" s="10"/>
      <x:c r="G1453" s="10" t="str">
        <x:f>IF(F1453="","",MIN(F1453,E1453))</x:f>
      </x:c>
      <x:c r="H1453" s="10" t="str">
        <x:f>IF(F1453="","",MAX(0,F1453-E1453))</x:f>
      </x:c>
      <x:c r="I1453" s="24"/>
      <x:c r="J1453" s="7"/>
      <x:c r="K1453" s="8" t="str">
        <x:f>IF(A1453="","",DATE(YEAR(A1453),MONTH(A1453),1))</x:f>
      </x:c>
    </x:row>
    <x:row r="1454">
      <x:c r="A1454" s="9"/>
      <x:c r="B1454" s="7"/>
      <x:c r="C1454" s="7" t="str">
        <x:f>IF(B1454="","",XLOOKUP(B1454,Employees!$A$4:$A$53,Employees!$B$4:$B$53,""))</x:f>
      </x:c>
      <x:c r="D1454" s="7"/>
      <x:c r="E1454" s="10" t="n">
        <x:v>8</x:v>
      </x:c>
      <x:c r="F1454" s="10"/>
      <x:c r="G1454" s="10" t="str">
        <x:f>IF(F1454="","",MIN(F1454,E1454))</x:f>
      </x:c>
      <x:c r="H1454" s="10" t="str">
        <x:f>IF(F1454="","",MAX(0,F1454-E1454))</x:f>
      </x:c>
      <x:c r="I1454" s="24"/>
      <x:c r="J1454" s="7"/>
      <x:c r="K1454" s="8" t="str">
        <x:f>IF(A1454="","",DATE(YEAR(A1454),MONTH(A1454),1))</x:f>
      </x:c>
    </x:row>
    <x:row r="1455">
      <x:c r="A1455" s="9"/>
      <x:c r="B1455" s="7"/>
      <x:c r="C1455" s="7" t="str">
        <x:f>IF(B1455="","",XLOOKUP(B1455,Employees!$A$4:$A$53,Employees!$B$4:$B$53,""))</x:f>
      </x:c>
      <x:c r="D1455" s="7"/>
      <x:c r="E1455" s="10" t="n">
        <x:v>8</x:v>
      </x:c>
      <x:c r="F1455" s="10"/>
      <x:c r="G1455" s="10" t="str">
        <x:f>IF(F1455="","",MIN(F1455,E1455))</x:f>
      </x:c>
      <x:c r="H1455" s="10" t="str">
        <x:f>IF(F1455="","",MAX(0,F1455-E1455))</x:f>
      </x:c>
      <x:c r="I1455" s="24"/>
      <x:c r="J1455" s="7"/>
      <x:c r="K1455" s="8" t="str">
        <x:f>IF(A1455="","",DATE(YEAR(A1455),MONTH(A1455),1))</x:f>
      </x:c>
    </x:row>
    <x:row r="1456">
      <x:c r="A1456" s="9"/>
      <x:c r="B1456" s="7"/>
      <x:c r="C1456" s="7" t="str">
        <x:f>IF(B1456="","",XLOOKUP(B1456,Employees!$A$4:$A$53,Employees!$B$4:$B$53,""))</x:f>
      </x:c>
      <x:c r="D1456" s="7"/>
      <x:c r="E1456" s="10" t="n">
        <x:v>8</x:v>
      </x:c>
      <x:c r="F1456" s="10"/>
      <x:c r="G1456" s="10" t="str">
        <x:f>IF(F1456="","",MIN(F1456,E1456))</x:f>
      </x:c>
      <x:c r="H1456" s="10" t="str">
        <x:f>IF(F1456="","",MAX(0,F1456-E1456))</x:f>
      </x:c>
      <x:c r="I1456" s="24"/>
      <x:c r="J1456" s="7"/>
      <x:c r="K1456" s="8" t="str">
        <x:f>IF(A1456="","",DATE(YEAR(A1456),MONTH(A1456),1))</x:f>
      </x:c>
    </x:row>
    <x:row r="1457">
      <x:c r="A1457" s="9"/>
      <x:c r="B1457" s="7"/>
      <x:c r="C1457" s="7" t="str">
        <x:f>IF(B1457="","",XLOOKUP(B1457,Employees!$A$4:$A$53,Employees!$B$4:$B$53,""))</x:f>
      </x:c>
      <x:c r="D1457" s="7"/>
      <x:c r="E1457" s="10" t="n">
        <x:v>8</x:v>
      </x:c>
      <x:c r="F1457" s="10"/>
      <x:c r="G1457" s="10" t="str">
        <x:f>IF(F1457="","",MIN(F1457,E1457))</x:f>
      </x:c>
      <x:c r="H1457" s="10" t="str">
        <x:f>IF(F1457="","",MAX(0,F1457-E1457))</x:f>
      </x:c>
      <x:c r="I1457" s="24"/>
      <x:c r="J1457" s="7"/>
      <x:c r="K1457" s="8" t="str">
        <x:f>IF(A1457="","",DATE(YEAR(A1457),MONTH(A1457),1))</x:f>
      </x:c>
    </x:row>
    <x:row r="1458">
      <x:c r="A1458" s="9"/>
      <x:c r="B1458" s="7"/>
      <x:c r="C1458" s="7" t="str">
        <x:f>IF(B1458="","",XLOOKUP(B1458,Employees!$A$4:$A$53,Employees!$B$4:$B$53,""))</x:f>
      </x:c>
      <x:c r="D1458" s="7"/>
      <x:c r="E1458" s="10" t="n">
        <x:v>8</x:v>
      </x:c>
      <x:c r="F1458" s="10"/>
      <x:c r="G1458" s="10" t="str">
        <x:f>IF(F1458="","",MIN(F1458,E1458))</x:f>
      </x:c>
      <x:c r="H1458" s="10" t="str">
        <x:f>IF(F1458="","",MAX(0,F1458-E1458))</x:f>
      </x:c>
      <x:c r="I1458" s="24"/>
      <x:c r="J1458" s="7"/>
      <x:c r="K1458" s="8" t="str">
        <x:f>IF(A1458="","",DATE(YEAR(A1458),MONTH(A1458),1))</x:f>
      </x:c>
    </x:row>
    <x:row r="1459">
      <x:c r="A1459" s="9"/>
      <x:c r="B1459" s="7"/>
      <x:c r="C1459" s="7" t="str">
        <x:f>IF(B1459="","",XLOOKUP(B1459,Employees!$A$4:$A$53,Employees!$B$4:$B$53,""))</x:f>
      </x:c>
      <x:c r="D1459" s="7"/>
      <x:c r="E1459" s="10" t="n">
        <x:v>8</x:v>
      </x:c>
      <x:c r="F1459" s="10"/>
      <x:c r="G1459" s="10" t="str">
        <x:f>IF(F1459="","",MIN(F1459,E1459))</x:f>
      </x:c>
      <x:c r="H1459" s="10" t="str">
        <x:f>IF(F1459="","",MAX(0,F1459-E1459))</x:f>
      </x:c>
      <x:c r="I1459" s="24"/>
      <x:c r="J1459" s="7"/>
      <x:c r="K1459" s="8" t="str">
        <x:f>IF(A1459="","",DATE(YEAR(A1459),MONTH(A1459),1))</x:f>
      </x:c>
    </x:row>
    <x:row r="1460">
      <x:c r="A1460" s="9"/>
      <x:c r="B1460" s="7"/>
      <x:c r="C1460" s="7" t="str">
        <x:f>IF(B1460="","",XLOOKUP(B1460,Employees!$A$4:$A$53,Employees!$B$4:$B$53,""))</x:f>
      </x:c>
      <x:c r="D1460" s="7"/>
      <x:c r="E1460" s="10" t="n">
        <x:v>8</x:v>
      </x:c>
      <x:c r="F1460" s="10"/>
      <x:c r="G1460" s="10" t="str">
        <x:f>IF(F1460="","",MIN(F1460,E1460))</x:f>
      </x:c>
      <x:c r="H1460" s="10" t="str">
        <x:f>IF(F1460="","",MAX(0,F1460-E1460))</x:f>
      </x:c>
      <x:c r="I1460" s="24"/>
      <x:c r="J1460" s="7"/>
      <x:c r="K1460" s="8" t="str">
        <x:f>IF(A1460="","",DATE(YEAR(A1460),MONTH(A1460),1))</x:f>
      </x:c>
    </x:row>
    <x:row r="1461">
      <x:c r="A1461" s="9"/>
      <x:c r="B1461" s="7"/>
      <x:c r="C1461" s="7" t="str">
        <x:f>IF(B1461="","",XLOOKUP(B1461,Employees!$A$4:$A$53,Employees!$B$4:$B$53,""))</x:f>
      </x:c>
      <x:c r="D1461" s="7"/>
      <x:c r="E1461" s="10" t="n">
        <x:v>8</x:v>
      </x:c>
      <x:c r="F1461" s="10"/>
      <x:c r="G1461" s="10" t="str">
        <x:f>IF(F1461="","",MIN(F1461,E1461))</x:f>
      </x:c>
      <x:c r="H1461" s="10" t="str">
        <x:f>IF(F1461="","",MAX(0,F1461-E1461))</x:f>
      </x:c>
      <x:c r="I1461" s="24"/>
      <x:c r="J1461" s="7"/>
      <x:c r="K1461" s="8" t="str">
        <x:f>IF(A1461="","",DATE(YEAR(A1461),MONTH(A1461),1))</x:f>
      </x:c>
    </x:row>
    <x:row r="1462">
      <x:c r="A1462" s="9"/>
      <x:c r="B1462" s="7"/>
      <x:c r="C1462" s="7" t="str">
        <x:f>IF(B1462="","",XLOOKUP(B1462,Employees!$A$4:$A$53,Employees!$B$4:$B$53,""))</x:f>
      </x:c>
      <x:c r="D1462" s="7"/>
      <x:c r="E1462" s="10" t="n">
        <x:v>8</x:v>
      </x:c>
      <x:c r="F1462" s="10"/>
      <x:c r="G1462" s="10" t="str">
        <x:f>IF(F1462="","",MIN(F1462,E1462))</x:f>
      </x:c>
      <x:c r="H1462" s="10" t="str">
        <x:f>IF(F1462="","",MAX(0,F1462-E1462))</x:f>
      </x:c>
      <x:c r="I1462" s="24"/>
      <x:c r="J1462" s="7"/>
      <x:c r="K1462" s="8" t="str">
        <x:f>IF(A1462="","",DATE(YEAR(A1462),MONTH(A1462),1))</x:f>
      </x:c>
    </x:row>
    <x:row r="1463">
      <x:c r="A1463" s="9"/>
      <x:c r="B1463" s="7"/>
      <x:c r="C1463" s="7" t="str">
        <x:f>IF(B1463="","",XLOOKUP(B1463,Employees!$A$4:$A$53,Employees!$B$4:$B$53,""))</x:f>
      </x:c>
      <x:c r="D1463" s="7"/>
      <x:c r="E1463" s="10" t="n">
        <x:v>8</x:v>
      </x:c>
      <x:c r="F1463" s="10"/>
      <x:c r="G1463" s="10" t="str">
        <x:f>IF(F1463="","",MIN(F1463,E1463))</x:f>
      </x:c>
      <x:c r="H1463" s="10" t="str">
        <x:f>IF(F1463="","",MAX(0,F1463-E1463))</x:f>
      </x:c>
      <x:c r="I1463" s="24"/>
      <x:c r="J1463" s="7"/>
      <x:c r="K1463" s="8" t="str">
        <x:f>IF(A1463="","",DATE(YEAR(A1463),MONTH(A1463),1))</x:f>
      </x:c>
    </x:row>
    <x:row r="1464">
      <x:c r="A1464" s="9"/>
      <x:c r="B1464" s="7"/>
      <x:c r="C1464" s="7" t="str">
        <x:f>IF(B1464="","",XLOOKUP(B1464,Employees!$A$4:$A$53,Employees!$B$4:$B$53,""))</x:f>
      </x:c>
      <x:c r="D1464" s="7"/>
      <x:c r="E1464" s="10" t="n">
        <x:v>8</x:v>
      </x:c>
      <x:c r="F1464" s="10"/>
      <x:c r="G1464" s="10" t="str">
        <x:f>IF(F1464="","",MIN(F1464,E1464))</x:f>
      </x:c>
      <x:c r="H1464" s="10" t="str">
        <x:f>IF(F1464="","",MAX(0,F1464-E1464))</x:f>
      </x:c>
      <x:c r="I1464" s="24"/>
      <x:c r="J1464" s="7"/>
      <x:c r="K1464" s="8" t="str">
        <x:f>IF(A1464="","",DATE(YEAR(A1464),MONTH(A1464),1))</x:f>
      </x:c>
    </x:row>
    <x:row r="1465">
      <x:c r="A1465" s="9"/>
      <x:c r="B1465" s="7"/>
      <x:c r="C1465" s="7" t="str">
        <x:f>IF(B1465="","",XLOOKUP(B1465,Employees!$A$4:$A$53,Employees!$B$4:$B$53,""))</x:f>
      </x:c>
      <x:c r="D1465" s="7"/>
      <x:c r="E1465" s="10" t="n">
        <x:v>8</x:v>
      </x:c>
      <x:c r="F1465" s="10"/>
      <x:c r="G1465" s="10" t="str">
        <x:f>IF(F1465="","",MIN(F1465,E1465))</x:f>
      </x:c>
      <x:c r="H1465" s="10" t="str">
        <x:f>IF(F1465="","",MAX(0,F1465-E1465))</x:f>
      </x:c>
      <x:c r="I1465" s="24"/>
      <x:c r="J1465" s="7"/>
      <x:c r="K1465" s="8" t="str">
        <x:f>IF(A1465="","",DATE(YEAR(A1465),MONTH(A1465),1))</x:f>
      </x:c>
    </x:row>
    <x:row r="1466">
      <x:c r="A1466" s="9"/>
      <x:c r="B1466" s="7"/>
      <x:c r="C1466" s="7" t="str">
        <x:f>IF(B1466="","",XLOOKUP(B1466,Employees!$A$4:$A$53,Employees!$B$4:$B$53,""))</x:f>
      </x:c>
      <x:c r="D1466" s="7"/>
      <x:c r="E1466" s="10" t="n">
        <x:v>8</x:v>
      </x:c>
      <x:c r="F1466" s="10"/>
      <x:c r="G1466" s="10" t="str">
        <x:f>IF(F1466="","",MIN(F1466,E1466))</x:f>
      </x:c>
      <x:c r="H1466" s="10" t="str">
        <x:f>IF(F1466="","",MAX(0,F1466-E1466))</x:f>
      </x:c>
      <x:c r="I1466" s="24"/>
      <x:c r="J1466" s="7"/>
      <x:c r="K1466" s="8" t="str">
        <x:f>IF(A1466="","",DATE(YEAR(A1466),MONTH(A1466),1))</x:f>
      </x:c>
    </x:row>
    <x:row r="1467">
      <x:c r="A1467" s="9"/>
      <x:c r="B1467" s="7"/>
      <x:c r="C1467" s="7" t="str">
        <x:f>IF(B1467="","",XLOOKUP(B1467,Employees!$A$4:$A$53,Employees!$B$4:$B$53,""))</x:f>
      </x:c>
      <x:c r="D1467" s="7"/>
      <x:c r="E1467" s="10" t="n">
        <x:v>8</x:v>
      </x:c>
      <x:c r="F1467" s="10"/>
      <x:c r="G1467" s="10" t="str">
        <x:f>IF(F1467="","",MIN(F1467,E1467))</x:f>
      </x:c>
      <x:c r="H1467" s="10" t="str">
        <x:f>IF(F1467="","",MAX(0,F1467-E1467))</x:f>
      </x:c>
      <x:c r="I1467" s="24"/>
      <x:c r="J1467" s="7"/>
      <x:c r="K1467" s="8" t="str">
        <x:f>IF(A1467="","",DATE(YEAR(A1467),MONTH(A1467),1))</x:f>
      </x:c>
    </x:row>
    <x:row r="1468">
      <x:c r="A1468" s="9"/>
      <x:c r="B1468" s="7"/>
      <x:c r="C1468" s="7" t="str">
        <x:f>IF(B1468="","",XLOOKUP(B1468,Employees!$A$4:$A$53,Employees!$B$4:$B$53,""))</x:f>
      </x:c>
      <x:c r="D1468" s="7"/>
      <x:c r="E1468" s="10" t="n">
        <x:v>8</x:v>
      </x:c>
      <x:c r="F1468" s="10"/>
      <x:c r="G1468" s="10" t="str">
        <x:f>IF(F1468="","",MIN(F1468,E1468))</x:f>
      </x:c>
      <x:c r="H1468" s="10" t="str">
        <x:f>IF(F1468="","",MAX(0,F1468-E1468))</x:f>
      </x:c>
      <x:c r="I1468" s="24"/>
      <x:c r="J1468" s="7"/>
      <x:c r="K1468" s="8" t="str">
        <x:f>IF(A1468="","",DATE(YEAR(A1468),MONTH(A1468),1))</x:f>
      </x:c>
    </x:row>
    <x:row r="1469">
      <x:c r="A1469" s="9"/>
      <x:c r="B1469" s="7"/>
      <x:c r="C1469" s="7" t="str">
        <x:f>IF(B1469="","",XLOOKUP(B1469,Employees!$A$4:$A$53,Employees!$B$4:$B$53,""))</x:f>
      </x:c>
      <x:c r="D1469" s="7"/>
      <x:c r="E1469" s="10" t="n">
        <x:v>8</x:v>
      </x:c>
      <x:c r="F1469" s="10"/>
      <x:c r="G1469" s="10" t="str">
        <x:f>IF(F1469="","",MIN(F1469,E1469))</x:f>
      </x:c>
      <x:c r="H1469" s="10" t="str">
        <x:f>IF(F1469="","",MAX(0,F1469-E1469))</x:f>
      </x:c>
      <x:c r="I1469" s="24"/>
      <x:c r="J1469" s="7"/>
      <x:c r="K1469" s="8" t="str">
        <x:f>IF(A1469="","",DATE(YEAR(A1469),MONTH(A1469),1))</x:f>
      </x:c>
    </x:row>
    <x:row r="1470">
      <x:c r="A1470" s="9"/>
      <x:c r="B1470" s="7"/>
      <x:c r="C1470" s="7" t="str">
        <x:f>IF(B1470="","",XLOOKUP(B1470,Employees!$A$4:$A$53,Employees!$B$4:$B$53,""))</x:f>
      </x:c>
      <x:c r="D1470" s="7"/>
      <x:c r="E1470" s="10" t="n">
        <x:v>8</x:v>
      </x:c>
      <x:c r="F1470" s="10"/>
      <x:c r="G1470" s="10" t="str">
        <x:f>IF(F1470="","",MIN(F1470,E1470))</x:f>
      </x:c>
      <x:c r="H1470" s="10" t="str">
        <x:f>IF(F1470="","",MAX(0,F1470-E1470))</x:f>
      </x:c>
      <x:c r="I1470" s="24"/>
      <x:c r="J1470" s="7"/>
      <x:c r="K1470" s="8" t="str">
        <x:f>IF(A1470="","",DATE(YEAR(A1470),MONTH(A1470),1))</x:f>
      </x:c>
    </x:row>
    <x:row r="1471">
      <x:c r="A1471" s="9"/>
      <x:c r="B1471" s="7"/>
      <x:c r="C1471" s="7" t="str">
        <x:f>IF(B1471="","",XLOOKUP(B1471,Employees!$A$4:$A$53,Employees!$B$4:$B$53,""))</x:f>
      </x:c>
      <x:c r="D1471" s="7"/>
      <x:c r="E1471" s="10" t="n">
        <x:v>8</x:v>
      </x:c>
      <x:c r="F1471" s="10"/>
      <x:c r="G1471" s="10" t="str">
        <x:f>IF(F1471="","",MIN(F1471,E1471))</x:f>
      </x:c>
      <x:c r="H1471" s="10" t="str">
        <x:f>IF(F1471="","",MAX(0,F1471-E1471))</x:f>
      </x:c>
      <x:c r="I1471" s="24"/>
      <x:c r="J1471" s="7"/>
      <x:c r="K1471" s="8" t="str">
        <x:f>IF(A1471="","",DATE(YEAR(A1471),MONTH(A1471),1))</x:f>
      </x:c>
    </x:row>
    <x:row r="1472">
      <x:c r="A1472" s="9"/>
      <x:c r="B1472" s="7"/>
      <x:c r="C1472" s="7" t="str">
        <x:f>IF(B1472="","",XLOOKUP(B1472,Employees!$A$4:$A$53,Employees!$B$4:$B$53,""))</x:f>
      </x:c>
      <x:c r="D1472" s="7"/>
      <x:c r="E1472" s="10" t="n">
        <x:v>8</x:v>
      </x:c>
      <x:c r="F1472" s="10"/>
      <x:c r="G1472" s="10" t="str">
        <x:f>IF(F1472="","",MIN(F1472,E1472))</x:f>
      </x:c>
      <x:c r="H1472" s="10" t="str">
        <x:f>IF(F1472="","",MAX(0,F1472-E1472))</x:f>
      </x:c>
      <x:c r="I1472" s="24"/>
      <x:c r="J1472" s="7"/>
      <x:c r="K1472" s="8" t="str">
        <x:f>IF(A1472="","",DATE(YEAR(A1472),MONTH(A1472),1))</x:f>
      </x:c>
    </x:row>
    <x:row r="1473">
      <x:c r="A1473" s="9"/>
      <x:c r="B1473" s="7"/>
      <x:c r="C1473" s="7" t="str">
        <x:f>IF(B1473="","",XLOOKUP(B1473,Employees!$A$4:$A$53,Employees!$B$4:$B$53,""))</x:f>
      </x:c>
      <x:c r="D1473" s="7"/>
      <x:c r="E1473" s="10" t="n">
        <x:v>8</x:v>
      </x:c>
      <x:c r="F1473" s="10"/>
      <x:c r="G1473" s="10" t="str">
        <x:f>IF(F1473="","",MIN(F1473,E1473))</x:f>
      </x:c>
      <x:c r="H1473" s="10" t="str">
        <x:f>IF(F1473="","",MAX(0,F1473-E1473))</x:f>
      </x:c>
      <x:c r="I1473" s="24"/>
      <x:c r="J1473" s="7"/>
      <x:c r="K1473" s="8" t="str">
        <x:f>IF(A1473="","",DATE(YEAR(A1473),MONTH(A1473),1))</x:f>
      </x:c>
    </x:row>
    <x:row r="1474">
      <x:c r="A1474" s="9"/>
      <x:c r="B1474" s="7"/>
      <x:c r="C1474" s="7" t="str">
        <x:f>IF(B1474="","",XLOOKUP(B1474,Employees!$A$4:$A$53,Employees!$B$4:$B$53,""))</x:f>
      </x:c>
      <x:c r="D1474" s="7"/>
      <x:c r="E1474" s="10" t="n">
        <x:v>8</x:v>
      </x:c>
      <x:c r="F1474" s="10"/>
      <x:c r="G1474" s="10" t="str">
        <x:f>IF(F1474="","",MIN(F1474,E1474))</x:f>
      </x:c>
      <x:c r="H1474" s="10" t="str">
        <x:f>IF(F1474="","",MAX(0,F1474-E1474))</x:f>
      </x:c>
      <x:c r="I1474" s="24"/>
      <x:c r="J1474" s="7"/>
      <x:c r="K1474" s="8" t="str">
        <x:f>IF(A1474="","",DATE(YEAR(A1474),MONTH(A1474),1))</x:f>
      </x:c>
    </x:row>
    <x:row r="1475">
      <x:c r="A1475" s="9"/>
      <x:c r="B1475" s="7"/>
      <x:c r="C1475" s="7" t="str">
        <x:f>IF(B1475="","",XLOOKUP(B1475,Employees!$A$4:$A$53,Employees!$B$4:$B$53,""))</x:f>
      </x:c>
      <x:c r="D1475" s="7"/>
      <x:c r="E1475" s="10" t="n">
        <x:v>8</x:v>
      </x:c>
      <x:c r="F1475" s="10"/>
      <x:c r="G1475" s="10" t="str">
        <x:f>IF(F1475="","",MIN(F1475,E1475))</x:f>
      </x:c>
      <x:c r="H1475" s="10" t="str">
        <x:f>IF(F1475="","",MAX(0,F1475-E1475))</x:f>
      </x:c>
      <x:c r="I1475" s="24"/>
      <x:c r="J1475" s="7"/>
      <x:c r="K1475" s="8" t="str">
        <x:f>IF(A1475="","",DATE(YEAR(A1475),MONTH(A1475),1))</x:f>
      </x:c>
    </x:row>
    <x:row r="1476">
      <x:c r="A1476" s="9"/>
      <x:c r="B1476" s="7"/>
      <x:c r="C1476" s="7" t="str">
        <x:f>IF(B1476="","",XLOOKUP(B1476,Employees!$A$4:$A$53,Employees!$B$4:$B$53,""))</x:f>
      </x:c>
      <x:c r="D1476" s="7"/>
      <x:c r="E1476" s="10" t="n">
        <x:v>8</x:v>
      </x:c>
      <x:c r="F1476" s="10"/>
      <x:c r="G1476" s="10" t="str">
        <x:f>IF(F1476="","",MIN(F1476,E1476))</x:f>
      </x:c>
      <x:c r="H1476" s="10" t="str">
        <x:f>IF(F1476="","",MAX(0,F1476-E1476))</x:f>
      </x:c>
      <x:c r="I1476" s="24"/>
      <x:c r="J1476" s="7"/>
      <x:c r="K1476" s="8" t="str">
        <x:f>IF(A1476="","",DATE(YEAR(A1476),MONTH(A1476),1))</x:f>
      </x:c>
    </x:row>
    <x:row r="1477">
      <x:c r="A1477" s="9"/>
      <x:c r="B1477" s="7"/>
      <x:c r="C1477" s="7" t="str">
        <x:f>IF(B1477="","",XLOOKUP(B1477,Employees!$A$4:$A$53,Employees!$B$4:$B$53,""))</x:f>
      </x:c>
      <x:c r="D1477" s="7"/>
      <x:c r="E1477" s="10" t="n">
        <x:v>8</x:v>
      </x:c>
      <x:c r="F1477" s="10"/>
      <x:c r="G1477" s="10" t="str">
        <x:f>IF(F1477="","",MIN(F1477,E1477))</x:f>
      </x:c>
      <x:c r="H1477" s="10" t="str">
        <x:f>IF(F1477="","",MAX(0,F1477-E1477))</x:f>
      </x:c>
      <x:c r="I1477" s="24"/>
      <x:c r="J1477" s="7"/>
      <x:c r="K1477" s="8" t="str">
        <x:f>IF(A1477="","",DATE(YEAR(A1477),MONTH(A1477),1))</x:f>
      </x:c>
    </x:row>
    <x:row r="1478">
      <x:c r="A1478" s="9"/>
      <x:c r="B1478" s="7"/>
      <x:c r="C1478" s="7" t="str">
        <x:f>IF(B1478="","",XLOOKUP(B1478,Employees!$A$4:$A$53,Employees!$B$4:$B$53,""))</x:f>
      </x:c>
      <x:c r="D1478" s="7"/>
      <x:c r="E1478" s="10" t="n">
        <x:v>8</x:v>
      </x:c>
      <x:c r="F1478" s="10"/>
      <x:c r="G1478" s="10" t="str">
        <x:f>IF(F1478="","",MIN(F1478,E1478))</x:f>
      </x:c>
      <x:c r="H1478" s="10" t="str">
        <x:f>IF(F1478="","",MAX(0,F1478-E1478))</x:f>
      </x:c>
      <x:c r="I1478" s="24"/>
      <x:c r="J1478" s="7"/>
      <x:c r="K1478" s="8" t="str">
        <x:f>IF(A1478="","",DATE(YEAR(A1478),MONTH(A1478),1))</x:f>
      </x:c>
    </x:row>
    <x:row r="1479">
      <x:c r="A1479" s="9"/>
      <x:c r="B1479" s="7"/>
      <x:c r="C1479" s="7" t="str">
        <x:f>IF(B1479="","",XLOOKUP(B1479,Employees!$A$4:$A$53,Employees!$B$4:$B$53,""))</x:f>
      </x:c>
      <x:c r="D1479" s="7"/>
      <x:c r="E1479" s="10" t="n">
        <x:v>8</x:v>
      </x:c>
      <x:c r="F1479" s="10"/>
      <x:c r="G1479" s="10" t="str">
        <x:f>IF(F1479="","",MIN(F1479,E1479))</x:f>
      </x:c>
      <x:c r="H1479" s="10" t="str">
        <x:f>IF(F1479="","",MAX(0,F1479-E1479))</x:f>
      </x:c>
      <x:c r="I1479" s="24"/>
      <x:c r="J1479" s="7"/>
      <x:c r="K1479" s="8" t="str">
        <x:f>IF(A1479="","",DATE(YEAR(A1479),MONTH(A1479),1))</x:f>
      </x:c>
    </x:row>
    <x:row r="1480">
      <x:c r="A1480" s="9"/>
      <x:c r="B1480" s="7"/>
      <x:c r="C1480" s="7" t="str">
        <x:f>IF(B1480="","",XLOOKUP(B1480,Employees!$A$4:$A$53,Employees!$B$4:$B$53,""))</x:f>
      </x:c>
      <x:c r="D1480" s="7"/>
      <x:c r="E1480" s="10" t="n">
        <x:v>8</x:v>
      </x:c>
      <x:c r="F1480" s="10"/>
      <x:c r="G1480" s="10" t="str">
        <x:f>IF(F1480="","",MIN(F1480,E1480))</x:f>
      </x:c>
      <x:c r="H1480" s="10" t="str">
        <x:f>IF(F1480="","",MAX(0,F1480-E1480))</x:f>
      </x:c>
      <x:c r="I1480" s="24"/>
      <x:c r="J1480" s="7"/>
      <x:c r="K1480" s="8" t="str">
        <x:f>IF(A1480="","",DATE(YEAR(A1480),MONTH(A1480),1))</x:f>
      </x:c>
    </x:row>
    <x:row r="1481">
      <x:c r="A1481" s="9"/>
      <x:c r="B1481" s="7"/>
      <x:c r="C1481" s="7" t="str">
        <x:f>IF(B1481="","",XLOOKUP(B1481,Employees!$A$4:$A$53,Employees!$B$4:$B$53,""))</x:f>
      </x:c>
      <x:c r="D1481" s="7"/>
      <x:c r="E1481" s="10" t="n">
        <x:v>8</x:v>
      </x:c>
      <x:c r="F1481" s="10"/>
      <x:c r="G1481" s="10" t="str">
        <x:f>IF(F1481="","",MIN(F1481,E1481))</x:f>
      </x:c>
      <x:c r="H1481" s="10" t="str">
        <x:f>IF(F1481="","",MAX(0,F1481-E1481))</x:f>
      </x:c>
      <x:c r="I1481" s="24"/>
      <x:c r="J1481" s="7"/>
      <x:c r="K1481" s="8" t="str">
        <x:f>IF(A1481="","",DATE(YEAR(A1481),MONTH(A1481),1))</x:f>
      </x:c>
    </x:row>
    <x:row r="1482">
      <x:c r="A1482" s="9"/>
      <x:c r="B1482" s="7"/>
      <x:c r="C1482" s="7" t="str">
        <x:f>IF(B1482="","",XLOOKUP(B1482,Employees!$A$4:$A$53,Employees!$B$4:$B$53,""))</x:f>
      </x:c>
      <x:c r="D1482" s="7"/>
      <x:c r="E1482" s="10" t="n">
        <x:v>8</x:v>
      </x:c>
      <x:c r="F1482" s="10"/>
      <x:c r="G1482" s="10" t="str">
        <x:f>IF(F1482="","",MIN(F1482,E1482))</x:f>
      </x:c>
      <x:c r="H1482" s="10" t="str">
        <x:f>IF(F1482="","",MAX(0,F1482-E1482))</x:f>
      </x:c>
      <x:c r="I1482" s="24"/>
      <x:c r="J1482" s="7"/>
      <x:c r="K1482" s="8" t="str">
        <x:f>IF(A1482="","",DATE(YEAR(A1482),MONTH(A1482),1))</x:f>
      </x:c>
    </x:row>
    <x:row r="1483">
      <x:c r="A1483" s="9"/>
      <x:c r="B1483" s="7"/>
      <x:c r="C1483" s="7" t="str">
        <x:f>IF(B1483="","",XLOOKUP(B1483,Employees!$A$4:$A$53,Employees!$B$4:$B$53,""))</x:f>
      </x:c>
      <x:c r="D1483" s="7"/>
      <x:c r="E1483" s="10" t="n">
        <x:v>8</x:v>
      </x:c>
      <x:c r="F1483" s="10"/>
      <x:c r="G1483" s="10" t="str">
        <x:f>IF(F1483="","",MIN(F1483,E1483))</x:f>
      </x:c>
      <x:c r="H1483" s="10" t="str">
        <x:f>IF(F1483="","",MAX(0,F1483-E1483))</x:f>
      </x:c>
      <x:c r="I1483" s="24"/>
      <x:c r="J1483" s="7"/>
      <x:c r="K1483" s="8" t="str">
        <x:f>IF(A1483="","",DATE(YEAR(A1483),MONTH(A1483),1))</x:f>
      </x:c>
    </x:row>
    <x:row r="1484">
      <x:c r="A1484" s="9"/>
      <x:c r="B1484" s="7"/>
      <x:c r="C1484" s="7" t="str">
        <x:f>IF(B1484="","",XLOOKUP(B1484,Employees!$A$4:$A$53,Employees!$B$4:$B$53,""))</x:f>
      </x:c>
      <x:c r="D1484" s="7"/>
      <x:c r="E1484" s="10" t="n">
        <x:v>8</x:v>
      </x:c>
      <x:c r="F1484" s="10"/>
      <x:c r="G1484" s="10" t="str">
        <x:f>IF(F1484="","",MIN(F1484,E1484))</x:f>
      </x:c>
      <x:c r="H1484" s="10" t="str">
        <x:f>IF(F1484="","",MAX(0,F1484-E1484))</x:f>
      </x:c>
      <x:c r="I1484" s="24"/>
      <x:c r="J1484" s="7"/>
      <x:c r="K1484" s="8" t="str">
        <x:f>IF(A1484="","",DATE(YEAR(A1484),MONTH(A1484),1))</x:f>
      </x:c>
    </x:row>
    <x:row r="1485">
      <x:c r="A1485" s="9"/>
      <x:c r="B1485" s="7"/>
      <x:c r="C1485" s="7" t="str">
        <x:f>IF(B1485="","",XLOOKUP(B1485,Employees!$A$4:$A$53,Employees!$B$4:$B$53,""))</x:f>
      </x:c>
      <x:c r="D1485" s="7"/>
      <x:c r="E1485" s="10" t="n">
        <x:v>8</x:v>
      </x:c>
      <x:c r="F1485" s="10"/>
      <x:c r="G1485" s="10" t="str">
        <x:f>IF(F1485="","",MIN(F1485,E1485))</x:f>
      </x:c>
      <x:c r="H1485" s="10" t="str">
        <x:f>IF(F1485="","",MAX(0,F1485-E1485))</x:f>
      </x:c>
      <x:c r="I1485" s="24"/>
      <x:c r="J1485" s="7"/>
      <x:c r="K1485" s="8" t="str">
        <x:f>IF(A1485="","",DATE(YEAR(A1485),MONTH(A1485),1))</x:f>
      </x:c>
    </x:row>
    <x:row r="1486">
      <x:c r="A1486" s="9"/>
      <x:c r="B1486" s="7"/>
      <x:c r="C1486" s="7" t="str">
        <x:f>IF(B1486="","",XLOOKUP(B1486,Employees!$A$4:$A$53,Employees!$B$4:$B$53,""))</x:f>
      </x:c>
      <x:c r="D1486" s="7"/>
      <x:c r="E1486" s="10" t="n">
        <x:v>8</x:v>
      </x:c>
      <x:c r="F1486" s="10"/>
      <x:c r="G1486" s="10" t="str">
        <x:f>IF(F1486="","",MIN(F1486,E1486))</x:f>
      </x:c>
      <x:c r="H1486" s="10" t="str">
        <x:f>IF(F1486="","",MAX(0,F1486-E1486))</x:f>
      </x:c>
      <x:c r="I1486" s="24"/>
      <x:c r="J1486" s="7"/>
      <x:c r="K1486" s="8" t="str">
        <x:f>IF(A1486="","",DATE(YEAR(A1486),MONTH(A1486),1))</x:f>
      </x:c>
    </x:row>
    <x:row r="1487">
      <x:c r="A1487" s="9"/>
      <x:c r="B1487" s="7"/>
      <x:c r="C1487" s="7" t="str">
        <x:f>IF(B1487="","",XLOOKUP(B1487,Employees!$A$4:$A$53,Employees!$B$4:$B$53,""))</x:f>
      </x:c>
      <x:c r="D1487" s="7"/>
      <x:c r="E1487" s="10" t="n">
        <x:v>8</x:v>
      </x:c>
      <x:c r="F1487" s="10"/>
      <x:c r="G1487" s="10" t="str">
        <x:f>IF(F1487="","",MIN(F1487,E1487))</x:f>
      </x:c>
      <x:c r="H1487" s="10" t="str">
        <x:f>IF(F1487="","",MAX(0,F1487-E1487))</x:f>
      </x:c>
      <x:c r="I1487" s="24"/>
      <x:c r="J1487" s="7"/>
      <x:c r="K1487" s="8" t="str">
        <x:f>IF(A1487="","",DATE(YEAR(A1487),MONTH(A1487),1))</x:f>
      </x:c>
    </x:row>
    <x:row r="1488">
      <x:c r="A1488" s="9"/>
      <x:c r="B1488" s="7"/>
      <x:c r="C1488" s="7" t="str">
        <x:f>IF(B1488="","",XLOOKUP(B1488,Employees!$A$4:$A$53,Employees!$B$4:$B$53,""))</x:f>
      </x:c>
      <x:c r="D1488" s="7"/>
      <x:c r="E1488" s="10" t="n">
        <x:v>8</x:v>
      </x:c>
      <x:c r="F1488" s="10"/>
      <x:c r="G1488" s="10" t="str">
        <x:f>IF(F1488="","",MIN(F1488,E1488))</x:f>
      </x:c>
      <x:c r="H1488" s="10" t="str">
        <x:f>IF(F1488="","",MAX(0,F1488-E1488))</x:f>
      </x:c>
      <x:c r="I1488" s="24"/>
      <x:c r="J1488" s="7"/>
      <x:c r="K1488" s="8" t="str">
        <x:f>IF(A1488="","",DATE(YEAR(A1488),MONTH(A1488),1))</x:f>
      </x:c>
    </x:row>
    <x:row r="1489">
      <x:c r="A1489" s="9"/>
      <x:c r="B1489" s="7"/>
      <x:c r="C1489" s="7" t="str">
        <x:f>IF(B1489="","",XLOOKUP(B1489,Employees!$A$4:$A$53,Employees!$B$4:$B$53,""))</x:f>
      </x:c>
      <x:c r="D1489" s="7"/>
      <x:c r="E1489" s="10" t="n">
        <x:v>8</x:v>
      </x:c>
      <x:c r="F1489" s="10"/>
      <x:c r="G1489" s="10" t="str">
        <x:f>IF(F1489="","",MIN(F1489,E1489))</x:f>
      </x:c>
      <x:c r="H1489" s="10" t="str">
        <x:f>IF(F1489="","",MAX(0,F1489-E1489))</x:f>
      </x:c>
      <x:c r="I1489" s="24"/>
      <x:c r="J1489" s="7"/>
      <x:c r="K1489" s="8" t="str">
        <x:f>IF(A1489="","",DATE(YEAR(A1489),MONTH(A1489),1))</x:f>
      </x:c>
    </x:row>
    <x:row r="1490">
      <x:c r="A1490" s="9"/>
      <x:c r="B1490" s="7"/>
      <x:c r="C1490" s="7" t="str">
        <x:f>IF(B1490="","",XLOOKUP(B1490,Employees!$A$4:$A$53,Employees!$B$4:$B$53,""))</x:f>
      </x:c>
      <x:c r="D1490" s="7"/>
      <x:c r="E1490" s="10" t="n">
        <x:v>8</x:v>
      </x:c>
      <x:c r="F1490" s="10"/>
      <x:c r="G1490" s="10" t="str">
        <x:f>IF(F1490="","",MIN(F1490,E1490))</x:f>
      </x:c>
      <x:c r="H1490" s="10" t="str">
        <x:f>IF(F1490="","",MAX(0,F1490-E1490))</x:f>
      </x:c>
      <x:c r="I1490" s="24"/>
      <x:c r="J1490" s="7"/>
      <x:c r="K1490" s="8" t="str">
        <x:f>IF(A1490="","",DATE(YEAR(A1490),MONTH(A1490),1))</x:f>
      </x:c>
    </x:row>
    <x:row r="1491">
      <x:c r="A1491" s="9"/>
      <x:c r="B1491" s="7"/>
      <x:c r="C1491" s="7" t="str">
        <x:f>IF(B1491="","",XLOOKUP(B1491,Employees!$A$4:$A$53,Employees!$B$4:$B$53,""))</x:f>
      </x:c>
      <x:c r="D1491" s="7"/>
      <x:c r="E1491" s="10" t="n">
        <x:v>8</x:v>
      </x:c>
      <x:c r="F1491" s="10"/>
      <x:c r="G1491" s="10" t="str">
        <x:f>IF(F1491="","",MIN(F1491,E1491))</x:f>
      </x:c>
      <x:c r="H1491" s="10" t="str">
        <x:f>IF(F1491="","",MAX(0,F1491-E1491))</x:f>
      </x:c>
      <x:c r="I1491" s="24"/>
      <x:c r="J1491" s="7"/>
      <x:c r="K1491" s="8" t="str">
        <x:f>IF(A1491="","",DATE(YEAR(A1491),MONTH(A1491),1))</x:f>
      </x:c>
    </x:row>
    <x:row r="1492">
      <x:c r="A1492" s="9"/>
      <x:c r="B1492" s="7"/>
      <x:c r="C1492" s="7" t="str">
        <x:f>IF(B1492="","",XLOOKUP(B1492,Employees!$A$4:$A$53,Employees!$B$4:$B$53,""))</x:f>
      </x:c>
      <x:c r="D1492" s="7"/>
      <x:c r="E1492" s="10" t="n">
        <x:v>8</x:v>
      </x:c>
      <x:c r="F1492" s="10"/>
      <x:c r="G1492" s="10" t="str">
        <x:f>IF(F1492="","",MIN(F1492,E1492))</x:f>
      </x:c>
      <x:c r="H1492" s="10" t="str">
        <x:f>IF(F1492="","",MAX(0,F1492-E1492))</x:f>
      </x:c>
      <x:c r="I1492" s="24"/>
      <x:c r="J1492" s="7"/>
      <x:c r="K1492" s="8" t="str">
        <x:f>IF(A1492="","",DATE(YEAR(A1492),MONTH(A1492),1))</x:f>
      </x:c>
    </x:row>
    <x:row r="1493">
      <x:c r="A1493" s="9"/>
      <x:c r="B1493" s="7"/>
      <x:c r="C1493" s="7" t="str">
        <x:f>IF(B1493="","",XLOOKUP(B1493,Employees!$A$4:$A$53,Employees!$B$4:$B$53,""))</x:f>
      </x:c>
      <x:c r="D1493" s="7"/>
      <x:c r="E1493" s="10" t="n">
        <x:v>8</x:v>
      </x:c>
      <x:c r="F1493" s="10"/>
      <x:c r="G1493" s="10" t="str">
        <x:f>IF(F1493="","",MIN(F1493,E1493))</x:f>
      </x:c>
      <x:c r="H1493" s="10" t="str">
        <x:f>IF(F1493="","",MAX(0,F1493-E1493))</x:f>
      </x:c>
      <x:c r="I1493" s="24"/>
      <x:c r="J1493" s="7"/>
      <x:c r="K1493" s="8" t="str">
        <x:f>IF(A1493="","",DATE(YEAR(A1493),MONTH(A1493),1))</x:f>
      </x:c>
    </x:row>
    <x:row r="1494">
      <x:c r="A1494" s="9"/>
      <x:c r="B1494" s="7"/>
      <x:c r="C1494" s="7" t="str">
        <x:f>IF(B1494="","",XLOOKUP(B1494,Employees!$A$4:$A$53,Employees!$B$4:$B$53,""))</x:f>
      </x:c>
      <x:c r="D1494" s="7"/>
      <x:c r="E1494" s="10" t="n">
        <x:v>8</x:v>
      </x:c>
      <x:c r="F1494" s="10"/>
      <x:c r="G1494" s="10" t="str">
        <x:f>IF(F1494="","",MIN(F1494,E1494))</x:f>
      </x:c>
      <x:c r="H1494" s="10" t="str">
        <x:f>IF(F1494="","",MAX(0,F1494-E1494))</x:f>
      </x:c>
      <x:c r="I1494" s="24"/>
      <x:c r="J1494" s="7"/>
      <x:c r="K1494" s="8" t="str">
        <x:f>IF(A1494="","",DATE(YEAR(A1494),MONTH(A1494),1))</x:f>
      </x:c>
    </x:row>
    <x:row r="1495">
      <x:c r="A1495" s="9"/>
      <x:c r="B1495" s="7"/>
      <x:c r="C1495" s="7" t="str">
        <x:f>IF(B1495="","",XLOOKUP(B1495,Employees!$A$4:$A$53,Employees!$B$4:$B$53,""))</x:f>
      </x:c>
      <x:c r="D1495" s="7"/>
      <x:c r="E1495" s="10" t="n">
        <x:v>8</x:v>
      </x:c>
      <x:c r="F1495" s="10"/>
      <x:c r="G1495" s="10" t="str">
        <x:f>IF(F1495="","",MIN(F1495,E1495))</x:f>
      </x:c>
      <x:c r="H1495" s="10" t="str">
        <x:f>IF(F1495="","",MAX(0,F1495-E1495))</x:f>
      </x:c>
      <x:c r="I1495" s="24"/>
      <x:c r="J1495" s="7"/>
      <x:c r="K1495" s="8" t="str">
        <x:f>IF(A1495="","",DATE(YEAR(A1495),MONTH(A1495),1))</x:f>
      </x:c>
    </x:row>
    <x:row r="1496">
      <x:c r="A1496" s="9"/>
      <x:c r="B1496" s="7"/>
      <x:c r="C1496" s="7" t="str">
        <x:f>IF(B1496="","",XLOOKUP(B1496,Employees!$A$4:$A$53,Employees!$B$4:$B$53,""))</x:f>
      </x:c>
      <x:c r="D1496" s="7"/>
      <x:c r="E1496" s="10" t="n">
        <x:v>8</x:v>
      </x:c>
      <x:c r="F1496" s="10"/>
      <x:c r="G1496" s="10" t="str">
        <x:f>IF(F1496="","",MIN(F1496,E1496))</x:f>
      </x:c>
      <x:c r="H1496" s="10" t="str">
        <x:f>IF(F1496="","",MAX(0,F1496-E1496))</x:f>
      </x:c>
      <x:c r="I1496" s="24"/>
      <x:c r="J1496" s="7"/>
      <x:c r="K1496" s="8" t="str">
        <x:f>IF(A1496="","",DATE(YEAR(A1496),MONTH(A1496),1))</x:f>
      </x:c>
    </x:row>
    <x:row r="1497">
      <x:c r="A1497" s="9"/>
      <x:c r="B1497" s="7"/>
      <x:c r="C1497" s="7" t="str">
        <x:f>IF(B1497="","",XLOOKUP(B1497,Employees!$A$4:$A$53,Employees!$B$4:$B$53,""))</x:f>
      </x:c>
      <x:c r="D1497" s="7"/>
      <x:c r="E1497" s="10" t="n">
        <x:v>8</x:v>
      </x:c>
      <x:c r="F1497" s="10"/>
      <x:c r="G1497" s="10" t="str">
        <x:f>IF(F1497="","",MIN(F1497,E1497))</x:f>
      </x:c>
      <x:c r="H1497" s="10" t="str">
        <x:f>IF(F1497="","",MAX(0,F1497-E1497))</x:f>
      </x:c>
      <x:c r="I1497" s="24"/>
      <x:c r="J1497" s="7"/>
      <x:c r="K1497" s="8" t="str">
        <x:f>IF(A1497="","",DATE(YEAR(A1497),MONTH(A1497),1))</x:f>
      </x:c>
    </x:row>
    <x:row r="1498">
      <x:c r="A1498" s="9"/>
      <x:c r="B1498" s="7"/>
      <x:c r="C1498" s="7" t="str">
        <x:f>IF(B1498="","",XLOOKUP(B1498,Employees!$A$4:$A$53,Employees!$B$4:$B$53,""))</x:f>
      </x:c>
      <x:c r="D1498" s="7"/>
      <x:c r="E1498" s="10" t="n">
        <x:v>8</x:v>
      </x:c>
      <x:c r="F1498" s="10"/>
      <x:c r="G1498" s="10" t="str">
        <x:f>IF(F1498="","",MIN(F1498,E1498))</x:f>
      </x:c>
      <x:c r="H1498" s="10" t="str">
        <x:f>IF(F1498="","",MAX(0,F1498-E1498))</x:f>
      </x:c>
      <x:c r="I1498" s="24"/>
      <x:c r="J1498" s="7"/>
      <x:c r="K1498" s="8" t="str">
        <x:f>IF(A1498="","",DATE(YEAR(A1498),MONTH(A1498),1))</x:f>
      </x:c>
    </x:row>
    <x:row r="1499">
      <x:c r="A1499" s="9"/>
      <x:c r="B1499" s="7"/>
      <x:c r="C1499" s="7" t="str">
        <x:f>IF(B1499="","",XLOOKUP(B1499,Employees!$A$4:$A$53,Employees!$B$4:$B$53,""))</x:f>
      </x:c>
      <x:c r="D1499" s="7"/>
      <x:c r="E1499" s="10" t="n">
        <x:v>8</x:v>
      </x:c>
      <x:c r="F1499" s="10"/>
      <x:c r="G1499" s="10" t="str">
        <x:f>IF(F1499="","",MIN(F1499,E1499))</x:f>
      </x:c>
      <x:c r="H1499" s="10" t="str">
        <x:f>IF(F1499="","",MAX(0,F1499-E1499))</x:f>
      </x:c>
      <x:c r="I1499" s="24"/>
      <x:c r="J1499" s="7"/>
      <x:c r="K1499" s="8" t="str">
        <x:f>IF(A1499="","",DATE(YEAR(A1499),MONTH(A1499),1))</x:f>
      </x:c>
    </x:row>
    <x:row r="1500">
      <x:c r="A1500" s="9"/>
      <x:c r="B1500" s="7"/>
      <x:c r="C1500" s="7" t="str">
        <x:f>IF(B1500="","",XLOOKUP(B1500,Employees!$A$4:$A$53,Employees!$B$4:$B$53,""))</x:f>
      </x:c>
      <x:c r="D1500" s="7"/>
      <x:c r="E1500" s="10" t="n">
        <x:v>8</x:v>
      </x:c>
      <x:c r="F1500" s="10"/>
      <x:c r="G1500" s="10" t="str">
        <x:f>IF(F1500="","",MIN(F1500,E1500))</x:f>
      </x:c>
      <x:c r="H1500" s="10" t="str">
        <x:f>IF(F1500="","",MAX(0,F1500-E1500))</x:f>
      </x:c>
      <x:c r="I1500" s="24"/>
      <x:c r="J1500" s="7"/>
      <x:c r="K1500" s="8" t="str">
        <x:f>IF(A1500="","",DATE(YEAR(A1500),MONTH(A1500),1))</x:f>
      </x:c>
    </x:row>
    <x:row r="1501">
      <x:c r="A1501" s="9"/>
      <x:c r="B1501" s="7"/>
      <x:c r="C1501" s="7" t="str">
        <x:f>IF(B1501="","",XLOOKUP(B1501,Employees!$A$4:$A$53,Employees!$B$4:$B$53,""))</x:f>
      </x:c>
      <x:c r="D1501" s="7"/>
      <x:c r="E1501" s="10" t="n">
        <x:v>8</x:v>
      </x:c>
      <x:c r="F1501" s="10"/>
      <x:c r="G1501" s="10" t="str">
        <x:f>IF(F1501="","",MIN(F1501,E1501))</x:f>
      </x:c>
      <x:c r="H1501" s="10" t="str">
        <x:f>IF(F1501="","",MAX(0,F1501-E1501))</x:f>
      </x:c>
      <x:c r="I1501" s="24"/>
      <x:c r="J1501" s="7"/>
      <x:c r="K1501" s="8" t="str">
        <x:f>IF(A1501="","",DATE(YEAR(A1501),MONTH(A1501),1))</x:f>
      </x:c>
    </x:row>
    <x:row r="1502">
      <x:c r="A1502" s="9"/>
      <x:c r="B1502" s="7"/>
      <x:c r="C1502" s="7" t="str">
        <x:f>IF(B1502="","",XLOOKUP(B1502,Employees!$A$4:$A$53,Employees!$B$4:$B$53,""))</x:f>
      </x:c>
      <x:c r="D1502" s="7"/>
      <x:c r="E1502" s="10" t="n">
        <x:v>8</x:v>
      </x:c>
      <x:c r="F1502" s="10"/>
      <x:c r="G1502" s="10" t="str">
        <x:f>IF(F1502="","",MIN(F1502,E1502))</x:f>
      </x:c>
      <x:c r="H1502" s="10" t="str">
        <x:f>IF(F1502="","",MAX(0,F1502-E1502))</x:f>
      </x:c>
      <x:c r="I1502" s="24"/>
      <x:c r="J1502" s="7"/>
      <x:c r="K1502" s="8" t="str">
        <x:f>IF(A1502="","",DATE(YEAR(A1502),MONTH(A1502),1))</x:f>
      </x:c>
    </x:row>
    <x:row r="1503">
      <x:c r="A1503" s="9"/>
      <x:c r="B1503" s="7"/>
      <x:c r="C1503" s="7" t="str">
        <x:f>IF(B1503="","",XLOOKUP(B1503,Employees!$A$4:$A$53,Employees!$B$4:$B$53,""))</x:f>
      </x:c>
      <x:c r="D1503" s="7"/>
      <x:c r="E1503" s="10" t="n">
        <x:v>8</x:v>
      </x:c>
      <x:c r="F1503" s="10"/>
      <x:c r="G1503" s="10" t="str">
        <x:f>IF(F1503="","",MIN(F1503,E1503))</x:f>
      </x:c>
      <x:c r="H1503" s="10" t="str">
        <x:f>IF(F1503="","",MAX(0,F1503-E1503))</x:f>
      </x:c>
      <x:c r="I1503" s="24"/>
      <x:c r="J1503" s="7"/>
      <x:c r="K1503" s="8" t="str">
        <x:f>IF(A1503="","",DATE(YEAR(A1503),MONTH(A1503),1))</x:f>
      </x:c>
    </x:row>
    <x:row r="1504">
      <x:c r="A1504" s="9"/>
      <x:c r="B1504" s="7"/>
      <x:c r="C1504" s="7" t="str">
        <x:f>IF(B1504="","",XLOOKUP(B1504,Employees!$A$4:$A$53,Employees!$B$4:$B$53,""))</x:f>
      </x:c>
      <x:c r="D1504" s="7"/>
      <x:c r="E1504" s="10" t="n">
        <x:v>8</x:v>
      </x:c>
      <x:c r="F1504" s="10"/>
      <x:c r="G1504" s="10" t="str">
        <x:f>IF(F1504="","",MIN(F1504,E1504))</x:f>
      </x:c>
      <x:c r="H1504" s="10" t="str">
        <x:f>IF(F1504="","",MAX(0,F1504-E1504))</x:f>
      </x:c>
      <x:c r="I1504" s="24"/>
      <x:c r="J1504" s="7"/>
      <x:c r="K1504" s="8" t="str">
        <x:f>IF(A1504="","",DATE(YEAR(A1504),MONTH(A1504),1))</x:f>
      </x:c>
    </x:row>
    <x:row r="1505">
      <x:c r="A1505" s="9"/>
      <x:c r="B1505" s="7"/>
      <x:c r="C1505" s="7" t="str">
        <x:f>IF(B1505="","",XLOOKUP(B1505,Employees!$A$4:$A$53,Employees!$B$4:$B$53,""))</x:f>
      </x:c>
      <x:c r="D1505" s="7"/>
      <x:c r="E1505" s="10" t="n">
        <x:v>8</x:v>
      </x:c>
      <x:c r="F1505" s="10"/>
      <x:c r="G1505" s="10" t="str">
        <x:f>IF(F1505="","",MIN(F1505,E1505))</x:f>
      </x:c>
      <x:c r="H1505" s="10" t="str">
        <x:f>IF(F1505="","",MAX(0,F1505-E1505))</x:f>
      </x:c>
      <x:c r="I1505" s="24"/>
      <x:c r="J1505" s="7"/>
      <x:c r="K1505" s="8" t="str">
        <x:f>IF(A1505="","",DATE(YEAR(A1505),MONTH(A1505),1))</x:f>
      </x:c>
    </x:row>
    <x:row r="1506">
      <x:c r="A1506" s="9"/>
      <x:c r="B1506" s="7"/>
      <x:c r="C1506" s="7" t="str">
        <x:f>IF(B1506="","",XLOOKUP(B1506,Employees!$A$4:$A$53,Employees!$B$4:$B$53,""))</x:f>
      </x:c>
      <x:c r="D1506" s="7"/>
      <x:c r="E1506" s="10" t="n">
        <x:v>8</x:v>
      </x:c>
      <x:c r="F1506" s="10"/>
      <x:c r="G1506" s="10" t="str">
        <x:f>IF(F1506="","",MIN(F1506,E1506))</x:f>
      </x:c>
      <x:c r="H1506" s="10" t="str">
        <x:f>IF(F1506="","",MAX(0,F1506-E1506))</x:f>
      </x:c>
      <x:c r="I1506" s="24"/>
      <x:c r="J1506" s="7"/>
      <x:c r="K1506" s="8" t="str">
        <x:f>IF(A1506="","",DATE(YEAR(A1506),MONTH(A1506),1))</x:f>
      </x:c>
    </x:row>
    <x:row r="1507">
      <x:c r="A1507" s="9"/>
      <x:c r="B1507" s="7"/>
      <x:c r="C1507" s="7" t="str">
        <x:f>IF(B1507="","",XLOOKUP(B1507,Employees!$A$4:$A$53,Employees!$B$4:$B$53,""))</x:f>
      </x:c>
      <x:c r="D1507" s="7"/>
      <x:c r="E1507" s="10" t="n">
        <x:v>8</x:v>
      </x:c>
      <x:c r="F1507" s="10"/>
      <x:c r="G1507" s="10" t="str">
        <x:f>IF(F1507="","",MIN(F1507,E1507))</x:f>
      </x:c>
      <x:c r="H1507" s="10" t="str">
        <x:f>IF(F1507="","",MAX(0,F1507-E1507))</x:f>
      </x:c>
      <x:c r="I1507" s="24"/>
      <x:c r="J1507" s="7"/>
      <x:c r="K1507" s="8" t="str">
        <x:f>IF(A1507="","",DATE(YEAR(A1507),MONTH(A1507),1))</x:f>
      </x:c>
    </x:row>
    <x:row r="1508">
      <x:c r="A1508" s="9"/>
      <x:c r="B1508" s="7"/>
      <x:c r="C1508" s="7" t="str">
        <x:f>IF(B1508="","",XLOOKUP(B1508,Employees!$A$4:$A$53,Employees!$B$4:$B$53,""))</x:f>
      </x:c>
      <x:c r="D1508" s="7"/>
      <x:c r="E1508" s="10" t="n">
        <x:v>8</x:v>
      </x:c>
      <x:c r="F1508" s="10"/>
      <x:c r="G1508" s="10" t="str">
        <x:f>IF(F1508="","",MIN(F1508,E1508))</x:f>
      </x:c>
      <x:c r="H1508" s="10" t="str">
        <x:f>IF(F1508="","",MAX(0,F1508-E1508))</x:f>
      </x:c>
      <x:c r="I1508" s="24"/>
      <x:c r="J1508" s="7"/>
      <x:c r="K1508" s="8" t="str">
        <x:f>IF(A1508="","",DATE(YEAR(A1508),MONTH(A1508),1))</x:f>
      </x:c>
    </x:row>
    <x:row r="1509">
      <x:c r="A1509" s="9"/>
      <x:c r="B1509" s="7"/>
      <x:c r="C1509" s="7" t="str">
        <x:f>IF(B1509="","",XLOOKUP(B1509,Employees!$A$4:$A$53,Employees!$B$4:$B$53,""))</x:f>
      </x:c>
      <x:c r="D1509" s="7"/>
      <x:c r="E1509" s="10" t="n">
        <x:v>8</x:v>
      </x:c>
      <x:c r="F1509" s="10"/>
      <x:c r="G1509" s="10" t="str">
        <x:f>IF(F1509="","",MIN(F1509,E1509))</x:f>
      </x:c>
      <x:c r="H1509" s="10" t="str">
        <x:f>IF(F1509="","",MAX(0,F1509-E1509))</x:f>
      </x:c>
      <x:c r="I1509" s="24"/>
      <x:c r="J1509" s="7"/>
      <x:c r="K1509" s="8" t="str">
        <x:f>IF(A1509="","",DATE(YEAR(A1509),MONTH(A1509),1))</x:f>
      </x:c>
    </x:row>
    <x:row r="1510">
      <x:c r="A1510" s="9"/>
      <x:c r="B1510" s="7"/>
      <x:c r="C1510" s="7" t="str">
        <x:f>IF(B1510="","",XLOOKUP(B1510,Employees!$A$4:$A$53,Employees!$B$4:$B$53,""))</x:f>
      </x:c>
      <x:c r="D1510" s="7"/>
      <x:c r="E1510" s="10" t="n">
        <x:v>8</x:v>
      </x:c>
      <x:c r="F1510" s="10"/>
      <x:c r="G1510" s="10" t="str">
        <x:f>IF(F1510="","",MIN(F1510,E1510))</x:f>
      </x:c>
      <x:c r="H1510" s="10" t="str">
        <x:f>IF(F1510="","",MAX(0,F1510-E1510))</x:f>
      </x:c>
      <x:c r="I1510" s="24"/>
      <x:c r="J1510" s="7"/>
      <x:c r="K1510" s="8" t="str">
        <x:f>IF(A1510="","",DATE(YEAR(A1510),MONTH(A1510),1))</x:f>
      </x:c>
    </x:row>
    <x:row r="1511">
      <x:c r="A1511" s="9"/>
      <x:c r="B1511" s="7"/>
      <x:c r="C1511" s="7" t="str">
        <x:f>IF(B1511="","",XLOOKUP(B1511,Employees!$A$4:$A$53,Employees!$B$4:$B$53,""))</x:f>
      </x:c>
      <x:c r="D1511" s="7"/>
      <x:c r="E1511" s="10" t="n">
        <x:v>8</x:v>
      </x:c>
      <x:c r="F1511" s="10"/>
      <x:c r="G1511" s="10" t="str">
        <x:f>IF(F1511="","",MIN(F1511,E1511))</x:f>
      </x:c>
      <x:c r="H1511" s="10" t="str">
        <x:f>IF(F1511="","",MAX(0,F1511-E1511))</x:f>
      </x:c>
      <x:c r="I1511" s="24"/>
      <x:c r="J1511" s="7"/>
      <x:c r="K1511" s="8" t="str">
        <x:f>IF(A1511="","",DATE(YEAR(A1511),MONTH(A1511),1))</x:f>
      </x:c>
    </x:row>
    <x:row r="1512">
      <x:c r="A1512" s="9"/>
      <x:c r="B1512" s="7"/>
      <x:c r="C1512" s="7" t="str">
        <x:f>IF(B1512="","",XLOOKUP(B1512,Employees!$A$4:$A$53,Employees!$B$4:$B$53,""))</x:f>
      </x:c>
      <x:c r="D1512" s="7"/>
      <x:c r="E1512" s="10" t="n">
        <x:v>8</x:v>
      </x:c>
      <x:c r="F1512" s="10"/>
      <x:c r="G1512" s="10" t="str">
        <x:f>IF(F1512="","",MIN(F1512,E1512))</x:f>
      </x:c>
      <x:c r="H1512" s="10" t="str">
        <x:f>IF(F1512="","",MAX(0,F1512-E1512))</x:f>
      </x:c>
      <x:c r="I1512" s="24"/>
      <x:c r="J1512" s="7"/>
      <x:c r="K1512" s="8" t="str">
        <x:f>IF(A1512="","",DATE(YEAR(A1512),MONTH(A1512),1))</x:f>
      </x:c>
    </x:row>
    <x:row r="1513">
      <x:c r="A1513" s="9"/>
      <x:c r="B1513" s="7"/>
      <x:c r="C1513" s="7" t="str">
        <x:f>IF(B1513="","",XLOOKUP(B1513,Employees!$A$4:$A$53,Employees!$B$4:$B$53,""))</x:f>
      </x:c>
      <x:c r="D1513" s="7"/>
      <x:c r="E1513" s="10" t="n">
        <x:v>8</x:v>
      </x:c>
      <x:c r="F1513" s="10"/>
      <x:c r="G1513" s="10" t="str">
        <x:f>IF(F1513="","",MIN(F1513,E1513))</x:f>
      </x:c>
      <x:c r="H1513" s="10" t="str">
        <x:f>IF(F1513="","",MAX(0,F1513-E1513))</x:f>
      </x:c>
      <x:c r="I1513" s="24"/>
      <x:c r="J1513" s="7"/>
      <x:c r="K1513" s="8" t="str">
        <x:f>IF(A1513="","",DATE(YEAR(A1513),MONTH(A1513),1))</x:f>
      </x:c>
    </x:row>
    <x:row r="1514">
      <x:c r="A1514" s="9"/>
      <x:c r="B1514" s="7"/>
      <x:c r="C1514" s="7" t="str">
        <x:f>IF(B1514="","",XLOOKUP(B1514,Employees!$A$4:$A$53,Employees!$B$4:$B$53,""))</x:f>
      </x:c>
      <x:c r="D1514" s="7"/>
      <x:c r="E1514" s="10" t="n">
        <x:v>8</x:v>
      </x:c>
      <x:c r="F1514" s="10"/>
      <x:c r="G1514" s="10" t="str">
        <x:f>IF(F1514="","",MIN(F1514,E1514))</x:f>
      </x:c>
      <x:c r="H1514" s="10" t="str">
        <x:f>IF(F1514="","",MAX(0,F1514-E1514))</x:f>
      </x:c>
      <x:c r="I1514" s="24"/>
      <x:c r="J1514" s="7"/>
      <x:c r="K1514" s="8" t="str">
        <x:f>IF(A1514="","",DATE(YEAR(A1514),MONTH(A1514),1))</x:f>
      </x:c>
    </x:row>
    <x:row r="1515">
      <x:c r="A1515" s="9"/>
      <x:c r="B1515" s="7"/>
      <x:c r="C1515" s="7" t="str">
        <x:f>IF(B1515="","",XLOOKUP(B1515,Employees!$A$4:$A$53,Employees!$B$4:$B$53,""))</x:f>
      </x:c>
      <x:c r="D1515" s="7"/>
      <x:c r="E1515" s="10" t="n">
        <x:v>8</x:v>
      </x:c>
      <x:c r="F1515" s="10"/>
      <x:c r="G1515" s="10" t="str">
        <x:f>IF(F1515="","",MIN(F1515,E1515))</x:f>
      </x:c>
      <x:c r="H1515" s="10" t="str">
        <x:f>IF(F1515="","",MAX(0,F1515-E1515))</x:f>
      </x:c>
      <x:c r="I1515" s="24"/>
      <x:c r="J1515" s="7"/>
      <x:c r="K1515" s="8" t="str">
        <x:f>IF(A1515="","",DATE(YEAR(A1515),MONTH(A1515),1))</x:f>
      </x:c>
    </x:row>
    <x:row r="1516">
      <x:c r="A1516" s="9"/>
      <x:c r="B1516" s="7"/>
      <x:c r="C1516" s="7" t="str">
        <x:f>IF(B1516="","",XLOOKUP(B1516,Employees!$A$4:$A$53,Employees!$B$4:$B$53,""))</x:f>
      </x:c>
      <x:c r="D1516" s="7"/>
      <x:c r="E1516" s="10" t="n">
        <x:v>8</x:v>
      </x:c>
      <x:c r="F1516" s="10"/>
      <x:c r="G1516" s="10" t="str">
        <x:f>IF(F1516="","",MIN(F1516,E1516))</x:f>
      </x:c>
      <x:c r="H1516" s="10" t="str">
        <x:f>IF(F1516="","",MAX(0,F1516-E1516))</x:f>
      </x:c>
      <x:c r="I1516" s="24"/>
      <x:c r="J1516" s="7"/>
      <x:c r="K1516" s="8" t="str">
        <x:f>IF(A1516="","",DATE(YEAR(A1516),MONTH(A1516),1))</x:f>
      </x:c>
    </x:row>
    <x:row r="1517">
      <x:c r="A1517" s="9"/>
      <x:c r="B1517" s="7"/>
      <x:c r="C1517" s="7" t="str">
        <x:f>IF(B1517="","",XLOOKUP(B1517,Employees!$A$4:$A$53,Employees!$B$4:$B$53,""))</x:f>
      </x:c>
      <x:c r="D1517" s="7"/>
      <x:c r="E1517" s="10" t="n">
        <x:v>8</x:v>
      </x:c>
      <x:c r="F1517" s="10"/>
      <x:c r="G1517" s="10" t="str">
        <x:f>IF(F1517="","",MIN(F1517,E1517))</x:f>
      </x:c>
      <x:c r="H1517" s="10" t="str">
        <x:f>IF(F1517="","",MAX(0,F1517-E1517))</x:f>
      </x:c>
      <x:c r="I1517" s="24"/>
      <x:c r="J1517" s="7"/>
      <x:c r="K1517" s="8" t="str">
        <x:f>IF(A1517="","",DATE(YEAR(A1517),MONTH(A1517),1))</x:f>
      </x:c>
    </x:row>
    <x:row r="1518">
      <x:c r="A1518" s="9"/>
      <x:c r="B1518" s="7"/>
      <x:c r="C1518" s="7" t="str">
        <x:f>IF(B1518="","",XLOOKUP(B1518,Employees!$A$4:$A$53,Employees!$B$4:$B$53,""))</x:f>
      </x:c>
      <x:c r="D1518" s="7"/>
      <x:c r="E1518" s="10" t="n">
        <x:v>8</x:v>
      </x:c>
      <x:c r="F1518" s="10"/>
      <x:c r="G1518" s="10" t="str">
        <x:f>IF(F1518="","",MIN(F1518,E1518))</x:f>
      </x:c>
      <x:c r="H1518" s="10" t="str">
        <x:f>IF(F1518="","",MAX(0,F1518-E1518))</x:f>
      </x:c>
      <x:c r="I1518" s="24"/>
      <x:c r="J1518" s="7"/>
      <x:c r="K1518" s="8" t="str">
        <x:f>IF(A1518="","",DATE(YEAR(A1518),MONTH(A1518),1))</x:f>
      </x:c>
    </x:row>
    <x:row r="1519">
      <x:c r="A1519" s="9"/>
      <x:c r="B1519" s="7"/>
      <x:c r="C1519" s="7" t="str">
        <x:f>IF(B1519="","",XLOOKUP(B1519,Employees!$A$4:$A$53,Employees!$B$4:$B$53,""))</x:f>
      </x:c>
      <x:c r="D1519" s="7"/>
      <x:c r="E1519" s="10" t="n">
        <x:v>8</x:v>
      </x:c>
      <x:c r="F1519" s="10"/>
      <x:c r="G1519" s="10" t="str">
        <x:f>IF(F1519="","",MIN(F1519,E1519))</x:f>
      </x:c>
      <x:c r="H1519" s="10" t="str">
        <x:f>IF(F1519="","",MAX(0,F1519-E1519))</x:f>
      </x:c>
      <x:c r="I1519" s="24"/>
      <x:c r="J1519" s="7"/>
      <x:c r="K1519" s="8" t="str">
        <x:f>IF(A1519="","",DATE(YEAR(A1519),MONTH(A1519),1))</x:f>
      </x:c>
    </x:row>
    <x:row r="1520">
      <x:c r="A1520" s="9"/>
      <x:c r="B1520" s="7"/>
      <x:c r="C1520" s="7" t="str">
        <x:f>IF(B1520="","",XLOOKUP(B1520,Employees!$A$4:$A$53,Employees!$B$4:$B$53,""))</x:f>
      </x:c>
      <x:c r="D1520" s="7"/>
      <x:c r="E1520" s="10" t="n">
        <x:v>8</x:v>
      </x:c>
      <x:c r="F1520" s="10"/>
      <x:c r="G1520" s="10" t="str">
        <x:f>IF(F1520="","",MIN(F1520,E1520))</x:f>
      </x:c>
      <x:c r="H1520" s="10" t="str">
        <x:f>IF(F1520="","",MAX(0,F1520-E1520))</x:f>
      </x:c>
      <x:c r="I1520" s="24"/>
      <x:c r="J1520" s="7"/>
      <x:c r="K1520" s="8" t="str">
        <x:f>IF(A1520="","",DATE(YEAR(A1520),MONTH(A1520),1))</x:f>
      </x:c>
    </x:row>
    <x:row r="1521">
      <x:c r="A1521" s="9"/>
      <x:c r="B1521" s="7"/>
      <x:c r="C1521" s="7" t="str">
        <x:f>IF(B1521="","",XLOOKUP(B1521,Employees!$A$4:$A$53,Employees!$B$4:$B$53,""))</x:f>
      </x:c>
      <x:c r="D1521" s="7"/>
      <x:c r="E1521" s="10" t="n">
        <x:v>8</x:v>
      </x:c>
      <x:c r="F1521" s="10"/>
      <x:c r="G1521" s="10" t="str">
        <x:f>IF(F1521="","",MIN(F1521,E1521))</x:f>
      </x:c>
      <x:c r="H1521" s="10" t="str">
        <x:f>IF(F1521="","",MAX(0,F1521-E1521))</x:f>
      </x:c>
      <x:c r="I1521" s="24"/>
      <x:c r="J1521" s="7"/>
      <x:c r="K1521" s="8" t="str">
        <x:f>IF(A1521="","",DATE(YEAR(A1521),MONTH(A1521),1))</x:f>
      </x:c>
    </x:row>
    <x:row r="1522">
      <x:c r="A1522" s="9"/>
      <x:c r="B1522" s="7"/>
      <x:c r="C1522" s="7" t="str">
        <x:f>IF(B1522="","",XLOOKUP(B1522,Employees!$A$4:$A$53,Employees!$B$4:$B$53,""))</x:f>
      </x:c>
      <x:c r="D1522" s="7"/>
      <x:c r="E1522" s="10" t="n">
        <x:v>8</x:v>
      </x:c>
      <x:c r="F1522" s="10"/>
      <x:c r="G1522" s="10" t="str">
        <x:f>IF(F1522="","",MIN(F1522,E1522))</x:f>
      </x:c>
      <x:c r="H1522" s="10" t="str">
        <x:f>IF(F1522="","",MAX(0,F1522-E1522))</x:f>
      </x:c>
      <x:c r="I1522" s="24"/>
      <x:c r="J1522" s="7"/>
      <x:c r="K1522" s="8" t="str">
        <x:f>IF(A1522="","",DATE(YEAR(A1522),MONTH(A1522),1))</x:f>
      </x:c>
    </x:row>
    <x:row r="1523">
      <x:c r="A1523" s="9"/>
      <x:c r="B1523" s="7"/>
      <x:c r="C1523" s="7" t="str">
        <x:f>IF(B1523="","",XLOOKUP(B1523,Employees!$A$4:$A$53,Employees!$B$4:$B$53,""))</x:f>
      </x:c>
      <x:c r="D1523" s="7"/>
      <x:c r="E1523" s="10" t="n">
        <x:v>8</x:v>
      </x:c>
      <x:c r="F1523" s="10"/>
      <x:c r="G1523" s="10" t="str">
        <x:f>IF(F1523="","",MIN(F1523,E1523))</x:f>
      </x:c>
      <x:c r="H1523" s="10" t="str">
        <x:f>IF(F1523="","",MAX(0,F1523-E1523))</x:f>
      </x:c>
      <x:c r="I1523" s="24"/>
      <x:c r="J1523" s="7"/>
      <x:c r="K1523" s="8" t="str">
        <x:f>IF(A1523="","",DATE(YEAR(A1523),MONTH(A1523),1))</x:f>
      </x:c>
    </x:row>
    <x:row r="1524">
      <x:c r="A1524" s="9"/>
      <x:c r="B1524" s="7"/>
      <x:c r="C1524" s="7" t="str">
        <x:f>IF(B1524="","",XLOOKUP(B1524,Employees!$A$4:$A$53,Employees!$B$4:$B$53,""))</x:f>
      </x:c>
      <x:c r="D1524" s="7"/>
      <x:c r="E1524" s="10" t="n">
        <x:v>8</x:v>
      </x:c>
      <x:c r="F1524" s="10"/>
      <x:c r="G1524" s="10" t="str">
        <x:f>IF(F1524="","",MIN(F1524,E1524))</x:f>
      </x:c>
      <x:c r="H1524" s="10" t="str">
        <x:f>IF(F1524="","",MAX(0,F1524-E1524))</x:f>
      </x:c>
      <x:c r="I1524" s="24"/>
      <x:c r="J1524" s="7"/>
      <x:c r="K1524" s="8" t="str">
        <x:f>IF(A1524="","",DATE(YEAR(A1524),MONTH(A1524),1))</x:f>
      </x:c>
    </x:row>
    <x:row r="1525">
      <x:c r="A1525" s="9"/>
      <x:c r="B1525" s="7"/>
      <x:c r="C1525" s="7" t="str">
        <x:f>IF(B1525="","",XLOOKUP(B1525,Employees!$A$4:$A$53,Employees!$B$4:$B$53,""))</x:f>
      </x:c>
      <x:c r="D1525" s="7"/>
      <x:c r="E1525" s="10" t="n">
        <x:v>8</x:v>
      </x:c>
      <x:c r="F1525" s="10"/>
      <x:c r="G1525" s="10" t="str">
        <x:f>IF(F1525="","",MIN(F1525,E1525))</x:f>
      </x:c>
      <x:c r="H1525" s="10" t="str">
        <x:f>IF(F1525="","",MAX(0,F1525-E1525))</x:f>
      </x:c>
      <x:c r="I1525" s="24"/>
      <x:c r="J1525" s="7"/>
      <x:c r="K1525" s="8" t="str">
        <x:f>IF(A1525="","",DATE(YEAR(A1525),MONTH(A1525),1))</x:f>
      </x:c>
    </x:row>
    <x:row r="1526">
      <x:c r="A1526" s="9"/>
      <x:c r="B1526" s="7"/>
      <x:c r="C1526" s="7" t="str">
        <x:f>IF(B1526="","",XLOOKUP(B1526,Employees!$A$4:$A$53,Employees!$B$4:$B$53,""))</x:f>
      </x:c>
      <x:c r="D1526" s="7"/>
      <x:c r="E1526" s="10" t="n">
        <x:v>8</x:v>
      </x:c>
      <x:c r="F1526" s="10"/>
      <x:c r="G1526" s="10" t="str">
        <x:f>IF(F1526="","",MIN(F1526,E1526))</x:f>
      </x:c>
      <x:c r="H1526" s="10" t="str">
        <x:f>IF(F1526="","",MAX(0,F1526-E1526))</x:f>
      </x:c>
      <x:c r="I1526" s="24"/>
      <x:c r="J1526" s="7"/>
      <x:c r="K1526" s="8" t="str">
        <x:f>IF(A1526="","",DATE(YEAR(A1526),MONTH(A1526),1))</x:f>
      </x:c>
    </x:row>
    <x:row r="1527">
      <x:c r="A1527" s="9"/>
      <x:c r="B1527" s="7"/>
      <x:c r="C1527" s="7" t="str">
        <x:f>IF(B1527="","",XLOOKUP(B1527,Employees!$A$4:$A$53,Employees!$B$4:$B$53,""))</x:f>
      </x:c>
      <x:c r="D1527" s="7"/>
      <x:c r="E1527" s="10" t="n">
        <x:v>8</x:v>
      </x:c>
      <x:c r="F1527" s="10"/>
      <x:c r="G1527" s="10" t="str">
        <x:f>IF(F1527="","",MIN(F1527,E1527))</x:f>
      </x:c>
      <x:c r="H1527" s="10" t="str">
        <x:f>IF(F1527="","",MAX(0,F1527-E1527))</x:f>
      </x:c>
      <x:c r="I1527" s="24"/>
      <x:c r="J1527" s="7"/>
      <x:c r="K1527" s="8" t="str">
        <x:f>IF(A1527="","",DATE(YEAR(A1527),MONTH(A1527),1))</x:f>
      </x:c>
    </x:row>
    <x:row r="1528">
      <x:c r="A1528" s="9"/>
      <x:c r="B1528" s="7"/>
      <x:c r="C1528" s="7" t="str">
        <x:f>IF(B1528="","",XLOOKUP(B1528,Employees!$A$4:$A$53,Employees!$B$4:$B$53,""))</x:f>
      </x:c>
      <x:c r="D1528" s="7"/>
      <x:c r="E1528" s="10" t="n">
        <x:v>8</x:v>
      </x:c>
      <x:c r="F1528" s="10"/>
      <x:c r="G1528" s="10" t="str">
        <x:f>IF(F1528="","",MIN(F1528,E1528))</x:f>
      </x:c>
      <x:c r="H1528" s="10" t="str">
        <x:f>IF(F1528="","",MAX(0,F1528-E1528))</x:f>
      </x:c>
      <x:c r="I1528" s="24"/>
      <x:c r="J1528" s="7"/>
      <x:c r="K1528" s="8" t="str">
        <x:f>IF(A1528="","",DATE(YEAR(A1528),MONTH(A1528),1))</x:f>
      </x:c>
    </x:row>
    <x:row r="1529">
      <x:c r="A1529" s="9"/>
      <x:c r="B1529" s="7"/>
      <x:c r="C1529" s="7" t="str">
        <x:f>IF(B1529="","",XLOOKUP(B1529,Employees!$A$4:$A$53,Employees!$B$4:$B$53,""))</x:f>
      </x:c>
      <x:c r="D1529" s="7"/>
      <x:c r="E1529" s="10" t="n">
        <x:v>8</x:v>
      </x:c>
      <x:c r="F1529" s="10"/>
      <x:c r="G1529" s="10" t="str">
        <x:f>IF(F1529="","",MIN(F1529,E1529))</x:f>
      </x:c>
      <x:c r="H1529" s="10" t="str">
        <x:f>IF(F1529="","",MAX(0,F1529-E1529))</x:f>
      </x:c>
      <x:c r="I1529" s="24"/>
      <x:c r="J1529" s="7"/>
      <x:c r="K1529" s="8" t="str">
        <x:f>IF(A1529="","",DATE(YEAR(A1529),MONTH(A1529),1))</x:f>
      </x:c>
    </x:row>
    <x:row r="1530">
      <x:c r="A1530" s="9"/>
      <x:c r="B1530" s="7"/>
      <x:c r="C1530" s="7" t="str">
        <x:f>IF(B1530="","",XLOOKUP(B1530,Employees!$A$4:$A$53,Employees!$B$4:$B$53,""))</x:f>
      </x:c>
      <x:c r="D1530" s="7"/>
      <x:c r="E1530" s="10" t="n">
        <x:v>8</x:v>
      </x:c>
      <x:c r="F1530" s="10"/>
      <x:c r="G1530" s="10" t="str">
        <x:f>IF(F1530="","",MIN(F1530,E1530))</x:f>
      </x:c>
      <x:c r="H1530" s="10" t="str">
        <x:f>IF(F1530="","",MAX(0,F1530-E1530))</x:f>
      </x:c>
      <x:c r="I1530" s="24"/>
      <x:c r="J1530" s="7"/>
      <x:c r="K1530" s="8" t="str">
        <x:f>IF(A1530="","",DATE(YEAR(A1530),MONTH(A1530),1))</x:f>
      </x:c>
    </x:row>
    <x:row r="1531">
      <x:c r="A1531" s="9"/>
      <x:c r="B1531" s="7"/>
      <x:c r="C1531" s="7" t="str">
        <x:f>IF(B1531="","",XLOOKUP(B1531,Employees!$A$4:$A$53,Employees!$B$4:$B$53,""))</x:f>
      </x:c>
      <x:c r="D1531" s="7"/>
      <x:c r="E1531" s="10" t="n">
        <x:v>8</x:v>
      </x:c>
      <x:c r="F1531" s="10"/>
      <x:c r="G1531" s="10" t="str">
        <x:f>IF(F1531="","",MIN(F1531,E1531))</x:f>
      </x:c>
      <x:c r="H1531" s="10" t="str">
        <x:f>IF(F1531="","",MAX(0,F1531-E1531))</x:f>
      </x:c>
      <x:c r="I1531" s="24"/>
      <x:c r="J1531" s="7"/>
      <x:c r="K1531" s="8" t="str">
        <x:f>IF(A1531="","",DATE(YEAR(A1531),MONTH(A1531),1))</x:f>
      </x:c>
    </x:row>
    <x:row r="1532">
      <x:c r="A1532" s="9"/>
      <x:c r="B1532" s="7"/>
      <x:c r="C1532" s="7" t="str">
        <x:f>IF(B1532="","",XLOOKUP(B1532,Employees!$A$4:$A$53,Employees!$B$4:$B$53,""))</x:f>
      </x:c>
      <x:c r="D1532" s="7"/>
      <x:c r="E1532" s="10" t="n">
        <x:v>8</x:v>
      </x:c>
      <x:c r="F1532" s="10"/>
      <x:c r="G1532" s="10" t="str">
        <x:f>IF(F1532="","",MIN(F1532,E1532))</x:f>
      </x:c>
      <x:c r="H1532" s="10" t="str">
        <x:f>IF(F1532="","",MAX(0,F1532-E1532))</x:f>
      </x:c>
      <x:c r="I1532" s="24"/>
      <x:c r="J1532" s="7"/>
      <x:c r="K1532" s="8" t="str">
        <x:f>IF(A1532="","",DATE(YEAR(A1532),MONTH(A1532),1))</x:f>
      </x:c>
    </x:row>
    <x:row r="1533">
      <x:c r="A1533" s="9"/>
      <x:c r="B1533" s="7"/>
      <x:c r="C1533" s="7" t="str">
        <x:f>IF(B1533="","",XLOOKUP(B1533,Employees!$A$4:$A$53,Employees!$B$4:$B$53,""))</x:f>
      </x:c>
      <x:c r="D1533" s="7"/>
      <x:c r="E1533" s="10" t="n">
        <x:v>8</x:v>
      </x:c>
      <x:c r="F1533" s="10"/>
      <x:c r="G1533" s="10" t="str">
        <x:f>IF(F1533="","",MIN(F1533,E1533))</x:f>
      </x:c>
      <x:c r="H1533" s="10" t="str">
        <x:f>IF(F1533="","",MAX(0,F1533-E1533))</x:f>
      </x:c>
      <x:c r="I1533" s="24"/>
      <x:c r="J1533" s="7"/>
      <x:c r="K1533" s="8" t="str">
        <x:f>IF(A1533="","",DATE(YEAR(A1533),MONTH(A1533),1))</x:f>
      </x:c>
    </x:row>
    <x:row r="1534">
      <x:c r="A1534" s="9"/>
      <x:c r="B1534" s="7"/>
      <x:c r="C1534" s="7" t="str">
        <x:f>IF(B1534="","",XLOOKUP(B1534,Employees!$A$4:$A$53,Employees!$B$4:$B$53,""))</x:f>
      </x:c>
      <x:c r="D1534" s="7"/>
      <x:c r="E1534" s="10" t="n">
        <x:v>8</x:v>
      </x:c>
      <x:c r="F1534" s="10"/>
      <x:c r="G1534" s="10" t="str">
        <x:f>IF(F1534="","",MIN(F1534,E1534))</x:f>
      </x:c>
      <x:c r="H1534" s="10" t="str">
        <x:f>IF(F1534="","",MAX(0,F1534-E1534))</x:f>
      </x:c>
      <x:c r="I1534" s="24"/>
      <x:c r="J1534" s="7"/>
      <x:c r="K1534" s="8" t="str">
        <x:f>IF(A1534="","",DATE(YEAR(A1534),MONTH(A1534),1))</x:f>
      </x:c>
    </x:row>
    <x:row r="1535">
      <x:c r="A1535" s="9"/>
      <x:c r="B1535" s="7"/>
      <x:c r="C1535" s="7" t="str">
        <x:f>IF(B1535="","",XLOOKUP(B1535,Employees!$A$4:$A$53,Employees!$B$4:$B$53,""))</x:f>
      </x:c>
      <x:c r="D1535" s="7"/>
      <x:c r="E1535" s="10" t="n">
        <x:v>8</x:v>
      </x:c>
      <x:c r="F1535" s="10"/>
      <x:c r="G1535" s="10" t="str">
        <x:f>IF(F1535="","",MIN(F1535,E1535))</x:f>
      </x:c>
      <x:c r="H1535" s="10" t="str">
        <x:f>IF(F1535="","",MAX(0,F1535-E1535))</x:f>
      </x:c>
      <x:c r="I1535" s="24"/>
      <x:c r="J1535" s="7"/>
      <x:c r="K1535" s="8" t="str">
        <x:f>IF(A1535="","",DATE(YEAR(A1535),MONTH(A1535),1))</x:f>
      </x:c>
    </x:row>
    <x:row r="1536">
      <x:c r="A1536" s="9"/>
      <x:c r="B1536" s="7"/>
      <x:c r="C1536" s="7" t="str">
        <x:f>IF(B1536="","",XLOOKUP(B1536,Employees!$A$4:$A$53,Employees!$B$4:$B$53,""))</x:f>
      </x:c>
      <x:c r="D1536" s="7"/>
      <x:c r="E1536" s="10" t="n">
        <x:v>8</x:v>
      </x:c>
      <x:c r="F1536" s="10"/>
      <x:c r="G1536" s="10" t="str">
        <x:f>IF(F1536="","",MIN(F1536,E1536))</x:f>
      </x:c>
      <x:c r="H1536" s="10" t="str">
        <x:f>IF(F1536="","",MAX(0,F1536-E1536))</x:f>
      </x:c>
      <x:c r="I1536" s="24"/>
      <x:c r="J1536" s="7"/>
      <x:c r="K1536" s="8" t="str">
        <x:f>IF(A1536="","",DATE(YEAR(A1536),MONTH(A1536),1))</x:f>
      </x:c>
    </x:row>
    <x:row r="1537">
      <x:c r="A1537" s="9"/>
      <x:c r="B1537" s="7"/>
      <x:c r="C1537" s="7" t="str">
        <x:f>IF(B1537="","",XLOOKUP(B1537,Employees!$A$4:$A$53,Employees!$B$4:$B$53,""))</x:f>
      </x:c>
      <x:c r="D1537" s="7"/>
      <x:c r="E1537" s="10" t="n">
        <x:v>8</x:v>
      </x:c>
      <x:c r="F1537" s="10"/>
      <x:c r="G1537" s="10" t="str">
        <x:f>IF(F1537="","",MIN(F1537,E1537))</x:f>
      </x:c>
      <x:c r="H1537" s="10" t="str">
        <x:f>IF(F1537="","",MAX(0,F1537-E1537))</x:f>
      </x:c>
      <x:c r="I1537" s="24"/>
      <x:c r="J1537" s="7"/>
      <x:c r="K1537" s="8" t="str">
        <x:f>IF(A1537="","",DATE(YEAR(A1537),MONTH(A1537),1))</x:f>
      </x:c>
    </x:row>
    <x:row r="1538">
      <x:c r="A1538" s="9"/>
      <x:c r="B1538" s="7"/>
      <x:c r="C1538" s="7" t="str">
        <x:f>IF(B1538="","",XLOOKUP(B1538,Employees!$A$4:$A$53,Employees!$B$4:$B$53,""))</x:f>
      </x:c>
      <x:c r="D1538" s="7"/>
      <x:c r="E1538" s="10" t="n">
        <x:v>8</x:v>
      </x:c>
      <x:c r="F1538" s="10"/>
      <x:c r="G1538" s="10" t="str">
        <x:f>IF(F1538="","",MIN(F1538,E1538))</x:f>
      </x:c>
      <x:c r="H1538" s="10" t="str">
        <x:f>IF(F1538="","",MAX(0,F1538-E1538))</x:f>
      </x:c>
      <x:c r="I1538" s="24"/>
      <x:c r="J1538" s="7"/>
      <x:c r="K1538" s="8" t="str">
        <x:f>IF(A1538="","",DATE(YEAR(A1538),MONTH(A1538),1))</x:f>
      </x:c>
    </x:row>
    <x:row r="1539">
      <x:c r="A1539" s="9"/>
      <x:c r="B1539" s="7"/>
      <x:c r="C1539" s="7" t="str">
        <x:f>IF(B1539="","",XLOOKUP(B1539,Employees!$A$4:$A$53,Employees!$B$4:$B$53,""))</x:f>
      </x:c>
      <x:c r="D1539" s="7"/>
      <x:c r="E1539" s="10" t="n">
        <x:v>8</x:v>
      </x:c>
      <x:c r="F1539" s="10"/>
      <x:c r="G1539" s="10" t="str">
        <x:f>IF(F1539="","",MIN(F1539,E1539))</x:f>
      </x:c>
      <x:c r="H1539" s="10" t="str">
        <x:f>IF(F1539="","",MAX(0,F1539-E1539))</x:f>
      </x:c>
      <x:c r="I1539" s="24"/>
      <x:c r="J1539" s="7"/>
      <x:c r="K1539" s="8" t="str">
        <x:f>IF(A1539="","",DATE(YEAR(A1539),MONTH(A1539),1))</x:f>
      </x:c>
    </x:row>
    <x:row r="1540">
      <x:c r="A1540" s="9"/>
      <x:c r="B1540" s="7"/>
      <x:c r="C1540" s="7" t="str">
        <x:f>IF(B1540="","",XLOOKUP(B1540,Employees!$A$4:$A$53,Employees!$B$4:$B$53,""))</x:f>
      </x:c>
      <x:c r="D1540" s="7"/>
      <x:c r="E1540" s="10" t="n">
        <x:v>8</x:v>
      </x:c>
      <x:c r="F1540" s="10"/>
      <x:c r="G1540" s="10" t="str">
        <x:f>IF(F1540="","",MIN(F1540,E1540))</x:f>
      </x:c>
      <x:c r="H1540" s="10" t="str">
        <x:f>IF(F1540="","",MAX(0,F1540-E1540))</x:f>
      </x:c>
      <x:c r="I1540" s="24"/>
      <x:c r="J1540" s="7"/>
      <x:c r="K1540" s="8" t="str">
        <x:f>IF(A1540="","",DATE(YEAR(A1540),MONTH(A1540),1))</x:f>
      </x:c>
    </x:row>
    <x:row r="1541">
      <x:c r="A1541" s="9"/>
      <x:c r="B1541" s="7"/>
      <x:c r="C1541" s="7" t="str">
        <x:f>IF(B1541="","",XLOOKUP(B1541,Employees!$A$4:$A$53,Employees!$B$4:$B$53,""))</x:f>
      </x:c>
      <x:c r="D1541" s="7"/>
      <x:c r="E1541" s="10" t="n">
        <x:v>8</x:v>
      </x:c>
      <x:c r="F1541" s="10"/>
      <x:c r="G1541" s="10" t="str">
        <x:f>IF(F1541="","",MIN(F1541,E1541))</x:f>
      </x:c>
      <x:c r="H1541" s="10" t="str">
        <x:f>IF(F1541="","",MAX(0,F1541-E1541))</x:f>
      </x:c>
      <x:c r="I1541" s="24"/>
      <x:c r="J1541" s="7"/>
      <x:c r="K1541" s="8" t="str">
        <x:f>IF(A1541="","",DATE(YEAR(A1541),MONTH(A1541),1))</x:f>
      </x:c>
    </x:row>
    <x:row r="1542">
      <x:c r="A1542" s="9"/>
      <x:c r="B1542" s="7"/>
      <x:c r="C1542" s="7" t="str">
        <x:f>IF(B1542="","",XLOOKUP(B1542,Employees!$A$4:$A$53,Employees!$B$4:$B$53,""))</x:f>
      </x:c>
      <x:c r="D1542" s="7"/>
      <x:c r="E1542" s="10" t="n">
        <x:v>8</x:v>
      </x:c>
      <x:c r="F1542" s="10"/>
      <x:c r="G1542" s="10" t="str">
        <x:f>IF(F1542="","",MIN(F1542,E1542))</x:f>
      </x:c>
      <x:c r="H1542" s="10" t="str">
        <x:f>IF(F1542="","",MAX(0,F1542-E1542))</x:f>
      </x:c>
      <x:c r="I1542" s="24"/>
      <x:c r="J1542" s="7"/>
      <x:c r="K1542" s="8" t="str">
        <x:f>IF(A1542="","",DATE(YEAR(A1542),MONTH(A1542),1))</x:f>
      </x:c>
    </x:row>
    <x:row r="1543">
      <x:c r="A1543" s="9"/>
      <x:c r="B1543" s="7"/>
      <x:c r="C1543" s="7" t="str">
        <x:f>IF(B1543="","",XLOOKUP(B1543,Employees!$A$4:$A$53,Employees!$B$4:$B$53,""))</x:f>
      </x:c>
      <x:c r="D1543" s="7"/>
      <x:c r="E1543" s="10" t="n">
        <x:v>8</x:v>
      </x:c>
      <x:c r="F1543" s="10"/>
      <x:c r="G1543" s="10" t="str">
        <x:f>IF(F1543="","",MIN(F1543,E1543))</x:f>
      </x:c>
      <x:c r="H1543" s="10" t="str">
        <x:f>IF(F1543="","",MAX(0,F1543-E1543))</x:f>
      </x:c>
      <x:c r="I1543" s="24"/>
      <x:c r="J1543" s="7"/>
      <x:c r="K1543" s="8" t="str">
        <x:f>IF(A1543="","",DATE(YEAR(A1543),MONTH(A1543),1))</x:f>
      </x:c>
    </x:row>
    <x:row r="1544">
      <x:c r="A1544" s="9"/>
      <x:c r="B1544" s="7"/>
      <x:c r="C1544" s="7" t="str">
        <x:f>IF(B1544="","",XLOOKUP(B1544,Employees!$A$4:$A$53,Employees!$B$4:$B$53,""))</x:f>
      </x:c>
      <x:c r="D1544" s="7"/>
      <x:c r="E1544" s="10" t="n">
        <x:v>8</x:v>
      </x:c>
      <x:c r="F1544" s="10"/>
      <x:c r="G1544" s="10" t="str">
        <x:f>IF(F1544="","",MIN(F1544,E1544))</x:f>
      </x:c>
      <x:c r="H1544" s="10" t="str">
        <x:f>IF(F1544="","",MAX(0,F1544-E1544))</x:f>
      </x:c>
      <x:c r="I1544" s="24"/>
      <x:c r="J1544" s="7"/>
      <x:c r="K1544" s="8" t="str">
        <x:f>IF(A1544="","",DATE(YEAR(A1544),MONTH(A1544),1))</x:f>
      </x:c>
    </x:row>
    <x:row r="1545">
      <x:c r="A1545" s="9"/>
      <x:c r="B1545" s="7"/>
      <x:c r="C1545" s="7" t="str">
        <x:f>IF(B1545="","",XLOOKUP(B1545,Employees!$A$4:$A$53,Employees!$B$4:$B$53,""))</x:f>
      </x:c>
      <x:c r="D1545" s="7"/>
      <x:c r="E1545" s="10" t="n">
        <x:v>8</x:v>
      </x:c>
      <x:c r="F1545" s="10"/>
      <x:c r="G1545" s="10" t="str">
        <x:f>IF(F1545="","",MIN(F1545,E1545))</x:f>
      </x:c>
      <x:c r="H1545" s="10" t="str">
        <x:f>IF(F1545="","",MAX(0,F1545-E1545))</x:f>
      </x:c>
      <x:c r="I1545" s="24"/>
      <x:c r="J1545" s="7"/>
      <x:c r="K1545" s="8" t="str">
        <x:f>IF(A1545="","",DATE(YEAR(A1545),MONTH(A1545),1))</x:f>
      </x:c>
    </x:row>
    <x:row r="1546">
      <x:c r="A1546" s="9"/>
      <x:c r="B1546" s="7"/>
      <x:c r="C1546" s="7" t="str">
        <x:f>IF(B1546="","",XLOOKUP(B1546,Employees!$A$4:$A$53,Employees!$B$4:$B$53,""))</x:f>
      </x:c>
      <x:c r="D1546" s="7"/>
      <x:c r="E1546" s="10" t="n">
        <x:v>8</x:v>
      </x:c>
      <x:c r="F1546" s="10"/>
      <x:c r="G1546" s="10" t="str">
        <x:f>IF(F1546="","",MIN(F1546,E1546))</x:f>
      </x:c>
      <x:c r="H1546" s="10" t="str">
        <x:f>IF(F1546="","",MAX(0,F1546-E1546))</x:f>
      </x:c>
      <x:c r="I1546" s="24"/>
      <x:c r="J1546" s="7"/>
      <x:c r="K1546" s="8" t="str">
        <x:f>IF(A1546="","",DATE(YEAR(A1546),MONTH(A1546),1))</x:f>
      </x:c>
    </x:row>
    <x:row r="1547">
      <x:c r="A1547" s="9"/>
      <x:c r="B1547" s="7"/>
      <x:c r="C1547" s="7" t="str">
        <x:f>IF(B1547="","",XLOOKUP(B1547,Employees!$A$4:$A$53,Employees!$B$4:$B$53,""))</x:f>
      </x:c>
      <x:c r="D1547" s="7"/>
      <x:c r="E1547" s="10" t="n">
        <x:v>8</x:v>
      </x:c>
      <x:c r="F1547" s="10"/>
      <x:c r="G1547" s="10" t="str">
        <x:f>IF(F1547="","",MIN(F1547,E1547))</x:f>
      </x:c>
      <x:c r="H1547" s="10" t="str">
        <x:f>IF(F1547="","",MAX(0,F1547-E1547))</x:f>
      </x:c>
      <x:c r="I1547" s="24"/>
      <x:c r="J1547" s="7"/>
      <x:c r="K1547" s="8" t="str">
        <x:f>IF(A1547="","",DATE(YEAR(A1547),MONTH(A1547),1))</x:f>
      </x:c>
    </x:row>
    <x:row r="1548">
      <x:c r="A1548" s="9"/>
      <x:c r="B1548" s="7"/>
      <x:c r="C1548" s="7" t="str">
        <x:f>IF(B1548="","",XLOOKUP(B1548,Employees!$A$4:$A$53,Employees!$B$4:$B$53,""))</x:f>
      </x:c>
      <x:c r="D1548" s="7"/>
      <x:c r="E1548" s="10" t="n">
        <x:v>8</x:v>
      </x:c>
      <x:c r="F1548" s="10"/>
      <x:c r="G1548" s="10" t="str">
        <x:f>IF(F1548="","",MIN(F1548,E1548))</x:f>
      </x:c>
      <x:c r="H1548" s="10" t="str">
        <x:f>IF(F1548="","",MAX(0,F1548-E1548))</x:f>
      </x:c>
      <x:c r="I1548" s="24"/>
      <x:c r="J1548" s="7"/>
      <x:c r="K1548" s="8" t="str">
        <x:f>IF(A1548="","",DATE(YEAR(A1548),MONTH(A1548),1))</x:f>
      </x:c>
    </x:row>
    <x:row r="1549">
      <x:c r="A1549" s="9"/>
      <x:c r="B1549" s="7"/>
      <x:c r="C1549" s="7" t="str">
        <x:f>IF(B1549="","",XLOOKUP(B1549,Employees!$A$4:$A$53,Employees!$B$4:$B$53,""))</x:f>
      </x:c>
      <x:c r="D1549" s="7"/>
      <x:c r="E1549" s="10" t="n">
        <x:v>8</x:v>
      </x:c>
      <x:c r="F1549" s="10"/>
      <x:c r="G1549" s="10" t="str">
        <x:f>IF(F1549="","",MIN(F1549,E1549))</x:f>
      </x:c>
      <x:c r="H1549" s="10" t="str">
        <x:f>IF(F1549="","",MAX(0,F1549-E1549))</x:f>
      </x:c>
      <x:c r="I1549" s="24"/>
      <x:c r="J1549" s="7"/>
      <x:c r="K1549" s="8" t="str">
        <x:f>IF(A1549="","",DATE(YEAR(A1549),MONTH(A1549),1))</x:f>
      </x:c>
    </x:row>
    <x:row r="1550">
      <x:c r="A1550" s="9"/>
      <x:c r="B1550" s="7"/>
      <x:c r="C1550" s="7" t="str">
        <x:f>IF(B1550="","",XLOOKUP(B1550,Employees!$A$4:$A$53,Employees!$B$4:$B$53,""))</x:f>
      </x:c>
      <x:c r="D1550" s="7"/>
      <x:c r="E1550" s="10" t="n">
        <x:v>8</x:v>
      </x:c>
      <x:c r="F1550" s="10"/>
      <x:c r="G1550" s="10" t="str">
        <x:f>IF(F1550="","",MIN(F1550,E1550))</x:f>
      </x:c>
      <x:c r="H1550" s="10" t="str">
        <x:f>IF(F1550="","",MAX(0,F1550-E1550))</x:f>
      </x:c>
      <x:c r="I1550" s="24"/>
      <x:c r="J1550" s="7"/>
      <x:c r="K1550" s="8" t="str">
        <x:f>IF(A1550="","",DATE(YEAR(A1550),MONTH(A1550),1))</x:f>
      </x:c>
    </x:row>
    <x:row r="1551">
      <x:c r="A1551" s="9"/>
      <x:c r="B1551" s="7"/>
      <x:c r="C1551" s="7" t="str">
        <x:f>IF(B1551="","",XLOOKUP(B1551,Employees!$A$4:$A$53,Employees!$B$4:$B$53,""))</x:f>
      </x:c>
      <x:c r="D1551" s="7"/>
      <x:c r="E1551" s="10" t="n">
        <x:v>8</x:v>
      </x:c>
      <x:c r="F1551" s="10"/>
      <x:c r="G1551" s="10" t="str">
        <x:f>IF(F1551="","",MIN(F1551,E1551))</x:f>
      </x:c>
      <x:c r="H1551" s="10" t="str">
        <x:f>IF(F1551="","",MAX(0,F1551-E1551))</x:f>
      </x:c>
      <x:c r="I1551" s="24"/>
      <x:c r="J1551" s="7"/>
      <x:c r="K1551" s="8" t="str">
        <x:f>IF(A1551="","",DATE(YEAR(A1551),MONTH(A1551),1))</x:f>
      </x:c>
    </x:row>
    <x:row r="1552">
      <x:c r="A1552" s="9"/>
      <x:c r="B1552" s="7"/>
      <x:c r="C1552" s="7" t="str">
        <x:f>IF(B1552="","",XLOOKUP(B1552,Employees!$A$4:$A$53,Employees!$B$4:$B$53,""))</x:f>
      </x:c>
      <x:c r="D1552" s="7"/>
      <x:c r="E1552" s="10" t="n">
        <x:v>8</x:v>
      </x:c>
      <x:c r="F1552" s="10"/>
      <x:c r="G1552" s="10" t="str">
        <x:f>IF(F1552="","",MIN(F1552,E1552))</x:f>
      </x:c>
      <x:c r="H1552" s="10" t="str">
        <x:f>IF(F1552="","",MAX(0,F1552-E1552))</x:f>
      </x:c>
      <x:c r="I1552" s="24"/>
      <x:c r="J1552" s="7"/>
      <x:c r="K1552" s="8" t="str">
        <x:f>IF(A1552="","",DATE(YEAR(A1552),MONTH(A1552),1))</x:f>
      </x:c>
    </x:row>
    <x:row r="1553">
      <x:c r="A1553" s="9"/>
      <x:c r="B1553" s="7"/>
      <x:c r="C1553" s="7" t="str">
        <x:f>IF(B1553="","",XLOOKUP(B1553,Employees!$A$4:$A$53,Employees!$B$4:$B$53,""))</x:f>
      </x:c>
      <x:c r="D1553" s="7"/>
      <x:c r="E1553" s="10" t="n">
        <x:v>8</x:v>
      </x:c>
      <x:c r="F1553" s="10"/>
      <x:c r="G1553" s="10" t="str">
        <x:f>IF(F1553="","",MIN(F1553,E1553))</x:f>
      </x:c>
      <x:c r="H1553" s="10" t="str">
        <x:f>IF(F1553="","",MAX(0,F1553-E1553))</x:f>
      </x:c>
      <x:c r="I1553" s="24"/>
      <x:c r="J1553" s="7"/>
      <x:c r="K1553" s="8" t="str">
        <x:f>IF(A1553="","",DATE(YEAR(A1553),MONTH(A1553),1))</x:f>
      </x:c>
    </x:row>
    <x:row r="1554">
      <x:c r="A1554" s="9"/>
      <x:c r="B1554" s="7"/>
      <x:c r="C1554" s="7" t="str">
        <x:f>IF(B1554="","",XLOOKUP(B1554,Employees!$A$4:$A$53,Employees!$B$4:$B$53,""))</x:f>
      </x:c>
      <x:c r="D1554" s="7"/>
      <x:c r="E1554" s="10" t="n">
        <x:v>8</x:v>
      </x:c>
      <x:c r="F1554" s="10"/>
      <x:c r="G1554" s="10" t="str">
        <x:f>IF(F1554="","",MIN(F1554,E1554))</x:f>
      </x:c>
      <x:c r="H1554" s="10" t="str">
        <x:f>IF(F1554="","",MAX(0,F1554-E1554))</x:f>
      </x:c>
      <x:c r="I1554" s="24"/>
      <x:c r="J1554" s="7"/>
      <x:c r="K1554" s="8" t="str">
        <x:f>IF(A1554="","",DATE(YEAR(A1554),MONTH(A1554),1))</x:f>
      </x:c>
    </x:row>
    <x:row r="1555">
      <x:c r="A1555" s="9"/>
      <x:c r="B1555" s="7"/>
      <x:c r="C1555" s="7" t="str">
        <x:f>IF(B1555="","",XLOOKUP(B1555,Employees!$A$4:$A$53,Employees!$B$4:$B$53,""))</x:f>
      </x:c>
      <x:c r="D1555" s="7"/>
      <x:c r="E1555" s="10" t="n">
        <x:v>8</x:v>
      </x:c>
      <x:c r="F1555" s="10"/>
      <x:c r="G1555" s="10" t="str">
        <x:f>IF(F1555="","",MIN(F1555,E1555))</x:f>
      </x:c>
      <x:c r="H1555" s="10" t="str">
        <x:f>IF(F1555="","",MAX(0,F1555-E1555))</x:f>
      </x:c>
      <x:c r="I1555" s="24"/>
      <x:c r="J1555" s="7"/>
      <x:c r="K1555" s="8" t="str">
        <x:f>IF(A1555="","",DATE(YEAR(A1555),MONTH(A1555),1))</x:f>
      </x:c>
    </x:row>
    <x:row r="1556">
      <x:c r="A1556" s="9"/>
      <x:c r="B1556" s="7"/>
      <x:c r="C1556" s="7" t="str">
        <x:f>IF(B1556="","",XLOOKUP(B1556,Employees!$A$4:$A$53,Employees!$B$4:$B$53,""))</x:f>
      </x:c>
      <x:c r="D1556" s="7"/>
      <x:c r="E1556" s="10" t="n">
        <x:v>8</x:v>
      </x:c>
      <x:c r="F1556" s="10"/>
      <x:c r="G1556" s="10" t="str">
        <x:f>IF(F1556="","",MIN(F1556,E1556))</x:f>
      </x:c>
      <x:c r="H1556" s="10" t="str">
        <x:f>IF(F1556="","",MAX(0,F1556-E1556))</x:f>
      </x:c>
      <x:c r="I1556" s="24"/>
      <x:c r="J1556" s="7"/>
      <x:c r="K1556" s="8" t="str">
        <x:f>IF(A1556="","",DATE(YEAR(A1556),MONTH(A1556),1))</x:f>
      </x:c>
    </x:row>
    <x:row r="1557">
      <x:c r="A1557" s="9"/>
      <x:c r="B1557" s="7"/>
      <x:c r="C1557" s="7" t="str">
        <x:f>IF(B1557="","",XLOOKUP(B1557,Employees!$A$4:$A$53,Employees!$B$4:$B$53,""))</x:f>
      </x:c>
      <x:c r="D1557" s="7"/>
      <x:c r="E1557" s="10" t="n">
        <x:v>8</x:v>
      </x:c>
      <x:c r="F1557" s="10"/>
      <x:c r="G1557" s="10" t="str">
        <x:f>IF(F1557="","",MIN(F1557,E1557))</x:f>
      </x:c>
      <x:c r="H1557" s="10" t="str">
        <x:f>IF(F1557="","",MAX(0,F1557-E1557))</x:f>
      </x:c>
      <x:c r="I1557" s="24"/>
      <x:c r="J1557" s="7"/>
      <x:c r="K1557" s="8" t="str">
        <x:f>IF(A1557="","",DATE(YEAR(A1557),MONTH(A1557),1))</x:f>
      </x:c>
    </x:row>
    <x:row r="1558">
      <x:c r="A1558" s="9"/>
      <x:c r="B1558" s="7"/>
      <x:c r="C1558" s="7" t="str">
        <x:f>IF(B1558="","",XLOOKUP(B1558,Employees!$A$4:$A$53,Employees!$B$4:$B$53,""))</x:f>
      </x:c>
      <x:c r="D1558" s="7"/>
      <x:c r="E1558" s="10" t="n">
        <x:v>8</x:v>
      </x:c>
      <x:c r="F1558" s="10"/>
      <x:c r="G1558" s="10" t="str">
        <x:f>IF(F1558="","",MIN(F1558,E1558))</x:f>
      </x:c>
      <x:c r="H1558" s="10" t="str">
        <x:f>IF(F1558="","",MAX(0,F1558-E1558))</x:f>
      </x:c>
      <x:c r="I1558" s="24"/>
      <x:c r="J1558" s="7"/>
      <x:c r="K1558" s="8" t="str">
        <x:f>IF(A1558="","",DATE(YEAR(A1558),MONTH(A1558),1))</x:f>
      </x:c>
    </x:row>
    <x:row r="1559">
      <x:c r="A1559" s="9"/>
      <x:c r="B1559" s="7"/>
      <x:c r="C1559" s="7" t="str">
        <x:f>IF(B1559="","",XLOOKUP(B1559,Employees!$A$4:$A$53,Employees!$B$4:$B$53,""))</x:f>
      </x:c>
      <x:c r="D1559" s="7"/>
      <x:c r="E1559" s="10" t="n">
        <x:v>8</x:v>
      </x:c>
      <x:c r="F1559" s="10"/>
      <x:c r="G1559" s="10" t="str">
        <x:f>IF(F1559="","",MIN(F1559,E1559))</x:f>
      </x:c>
      <x:c r="H1559" s="10" t="str">
        <x:f>IF(F1559="","",MAX(0,F1559-E1559))</x:f>
      </x:c>
      <x:c r="I1559" s="24"/>
      <x:c r="J1559" s="7"/>
      <x:c r="K1559" s="8" t="str">
        <x:f>IF(A1559="","",DATE(YEAR(A1559),MONTH(A1559),1))</x:f>
      </x:c>
    </x:row>
    <x:row r="1560">
      <x:c r="A1560" s="9"/>
      <x:c r="B1560" s="7"/>
      <x:c r="C1560" s="7" t="str">
        <x:f>IF(B1560="","",XLOOKUP(B1560,Employees!$A$4:$A$53,Employees!$B$4:$B$53,""))</x:f>
      </x:c>
      <x:c r="D1560" s="7"/>
      <x:c r="E1560" s="10" t="n">
        <x:v>8</x:v>
      </x:c>
      <x:c r="F1560" s="10"/>
      <x:c r="G1560" s="10" t="str">
        <x:f>IF(F1560="","",MIN(F1560,E1560))</x:f>
      </x:c>
      <x:c r="H1560" s="10" t="str">
        <x:f>IF(F1560="","",MAX(0,F1560-E1560))</x:f>
      </x:c>
      <x:c r="I1560" s="24"/>
      <x:c r="J1560" s="7"/>
      <x:c r="K1560" s="8" t="str">
        <x:f>IF(A1560="","",DATE(YEAR(A1560),MONTH(A1560),1))</x:f>
      </x:c>
    </x:row>
    <x:row r="1561">
      <x:c r="A1561" s="9"/>
      <x:c r="B1561" s="7"/>
      <x:c r="C1561" s="7" t="str">
        <x:f>IF(B1561="","",XLOOKUP(B1561,Employees!$A$4:$A$53,Employees!$B$4:$B$53,""))</x:f>
      </x:c>
      <x:c r="D1561" s="7"/>
      <x:c r="E1561" s="10" t="n">
        <x:v>8</x:v>
      </x:c>
      <x:c r="F1561" s="10"/>
      <x:c r="G1561" s="10" t="str">
        <x:f>IF(F1561="","",MIN(F1561,E1561))</x:f>
      </x:c>
      <x:c r="H1561" s="10" t="str">
        <x:f>IF(F1561="","",MAX(0,F1561-E1561))</x:f>
      </x:c>
      <x:c r="I1561" s="24"/>
      <x:c r="J1561" s="7"/>
      <x:c r="K1561" s="8" t="str">
        <x:f>IF(A1561="","",DATE(YEAR(A1561),MONTH(A1561),1))</x:f>
      </x:c>
    </x:row>
    <x:row r="1562">
      <x:c r="A1562" s="9"/>
      <x:c r="B1562" s="7"/>
      <x:c r="C1562" s="7" t="str">
        <x:f>IF(B1562="","",XLOOKUP(B1562,Employees!$A$4:$A$53,Employees!$B$4:$B$53,""))</x:f>
      </x:c>
      <x:c r="D1562" s="7"/>
      <x:c r="E1562" s="10" t="n">
        <x:v>8</x:v>
      </x:c>
      <x:c r="F1562" s="10"/>
      <x:c r="G1562" s="10" t="str">
        <x:f>IF(F1562="","",MIN(F1562,E1562))</x:f>
      </x:c>
      <x:c r="H1562" s="10" t="str">
        <x:f>IF(F1562="","",MAX(0,F1562-E1562))</x:f>
      </x:c>
      <x:c r="I1562" s="24"/>
      <x:c r="J1562" s="7"/>
      <x:c r="K1562" s="8" t="str">
        <x:f>IF(A1562="","",DATE(YEAR(A1562),MONTH(A1562),1))</x:f>
      </x:c>
    </x:row>
    <x:row r="1563">
      <x:c r="A1563" s="9"/>
      <x:c r="B1563" s="7"/>
      <x:c r="C1563" s="7" t="str">
        <x:f>IF(B1563="","",XLOOKUP(B1563,Employees!$A$4:$A$53,Employees!$B$4:$B$53,""))</x:f>
      </x:c>
      <x:c r="D1563" s="7"/>
      <x:c r="E1563" s="10" t="n">
        <x:v>8</x:v>
      </x:c>
      <x:c r="F1563" s="10"/>
      <x:c r="G1563" s="10" t="str">
        <x:f>IF(F1563="","",MIN(F1563,E1563))</x:f>
      </x:c>
      <x:c r="H1563" s="10" t="str">
        <x:f>IF(F1563="","",MAX(0,F1563-E1563))</x:f>
      </x:c>
      <x:c r="I1563" s="24"/>
      <x:c r="J1563" s="7"/>
      <x:c r="K1563" s="8" t="str">
        <x:f>IF(A1563="","",DATE(YEAR(A1563),MONTH(A1563),1))</x:f>
      </x:c>
    </x:row>
    <x:row r="1564">
      <x:c r="A1564" s="9"/>
      <x:c r="B1564" s="7"/>
      <x:c r="C1564" s="7" t="str">
        <x:f>IF(B1564="","",XLOOKUP(B1564,Employees!$A$4:$A$53,Employees!$B$4:$B$53,""))</x:f>
      </x:c>
      <x:c r="D1564" s="7"/>
      <x:c r="E1564" s="10" t="n">
        <x:v>8</x:v>
      </x:c>
      <x:c r="F1564" s="10"/>
      <x:c r="G1564" s="10" t="str">
        <x:f>IF(F1564="","",MIN(F1564,E1564))</x:f>
      </x:c>
      <x:c r="H1564" s="10" t="str">
        <x:f>IF(F1564="","",MAX(0,F1564-E1564))</x:f>
      </x:c>
      <x:c r="I1564" s="24"/>
      <x:c r="J1564" s="7"/>
      <x:c r="K1564" s="8" t="str">
        <x:f>IF(A1564="","",DATE(YEAR(A1564),MONTH(A1564),1))</x:f>
      </x:c>
    </x:row>
    <x:row r="1565">
      <x:c r="A1565" s="9"/>
      <x:c r="B1565" s="7"/>
      <x:c r="C1565" s="7" t="str">
        <x:f>IF(B1565="","",XLOOKUP(B1565,Employees!$A$4:$A$53,Employees!$B$4:$B$53,""))</x:f>
      </x:c>
      <x:c r="D1565" s="7"/>
      <x:c r="E1565" s="10" t="n">
        <x:v>8</x:v>
      </x:c>
      <x:c r="F1565" s="10"/>
      <x:c r="G1565" s="10" t="str">
        <x:f>IF(F1565="","",MIN(F1565,E1565))</x:f>
      </x:c>
      <x:c r="H1565" s="10" t="str">
        <x:f>IF(F1565="","",MAX(0,F1565-E1565))</x:f>
      </x:c>
      <x:c r="I1565" s="24"/>
      <x:c r="J1565" s="7"/>
      <x:c r="K1565" s="8" t="str">
        <x:f>IF(A1565="","",DATE(YEAR(A1565),MONTH(A1565),1))</x:f>
      </x:c>
    </x:row>
    <x:row r="1566">
      <x:c r="A1566" s="9"/>
      <x:c r="B1566" s="7"/>
      <x:c r="C1566" s="7" t="str">
        <x:f>IF(B1566="","",XLOOKUP(B1566,Employees!$A$4:$A$53,Employees!$B$4:$B$53,""))</x:f>
      </x:c>
      <x:c r="D1566" s="7"/>
      <x:c r="E1566" s="10" t="n">
        <x:v>8</x:v>
      </x:c>
      <x:c r="F1566" s="10"/>
      <x:c r="G1566" s="10" t="str">
        <x:f>IF(F1566="","",MIN(F1566,E1566))</x:f>
      </x:c>
      <x:c r="H1566" s="10" t="str">
        <x:f>IF(F1566="","",MAX(0,F1566-E1566))</x:f>
      </x:c>
      <x:c r="I1566" s="24"/>
      <x:c r="J1566" s="7"/>
      <x:c r="K1566" s="8" t="str">
        <x:f>IF(A1566="","",DATE(YEAR(A1566),MONTH(A1566),1))</x:f>
      </x:c>
    </x:row>
    <x:row r="1567">
      <x:c r="A1567" s="9"/>
      <x:c r="B1567" s="7"/>
      <x:c r="C1567" s="7" t="str">
        <x:f>IF(B1567="","",XLOOKUP(B1567,Employees!$A$4:$A$53,Employees!$B$4:$B$53,""))</x:f>
      </x:c>
      <x:c r="D1567" s="7"/>
      <x:c r="E1567" s="10" t="n">
        <x:v>8</x:v>
      </x:c>
      <x:c r="F1567" s="10"/>
      <x:c r="G1567" s="10" t="str">
        <x:f>IF(F1567="","",MIN(F1567,E1567))</x:f>
      </x:c>
      <x:c r="H1567" s="10" t="str">
        <x:f>IF(F1567="","",MAX(0,F1567-E1567))</x:f>
      </x:c>
      <x:c r="I1567" s="24"/>
      <x:c r="J1567" s="7"/>
      <x:c r="K1567" s="8" t="str">
        <x:f>IF(A1567="","",DATE(YEAR(A1567),MONTH(A1567),1))</x:f>
      </x:c>
    </x:row>
    <x:row r="1568">
      <x:c r="A1568" s="9"/>
      <x:c r="B1568" s="7"/>
      <x:c r="C1568" s="7" t="str">
        <x:f>IF(B1568="","",XLOOKUP(B1568,Employees!$A$4:$A$53,Employees!$B$4:$B$53,""))</x:f>
      </x:c>
      <x:c r="D1568" s="7"/>
      <x:c r="E1568" s="10" t="n">
        <x:v>8</x:v>
      </x:c>
      <x:c r="F1568" s="10"/>
      <x:c r="G1568" s="10" t="str">
        <x:f>IF(F1568="","",MIN(F1568,E1568))</x:f>
      </x:c>
      <x:c r="H1568" s="10" t="str">
        <x:f>IF(F1568="","",MAX(0,F1568-E1568))</x:f>
      </x:c>
      <x:c r="I1568" s="24"/>
      <x:c r="J1568" s="7"/>
      <x:c r="K1568" s="8" t="str">
        <x:f>IF(A1568="","",DATE(YEAR(A1568),MONTH(A1568),1))</x:f>
      </x:c>
    </x:row>
    <x:row r="1569">
      <x:c r="A1569" s="9"/>
      <x:c r="B1569" s="7"/>
      <x:c r="C1569" s="7" t="str">
        <x:f>IF(B1569="","",XLOOKUP(B1569,Employees!$A$4:$A$53,Employees!$B$4:$B$53,""))</x:f>
      </x:c>
      <x:c r="D1569" s="7"/>
      <x:c r="E1569" s="10" t="n">
        <x:v>8</x:v>
      </x:c>
      <x:c r="F1569" s="10"/>
      <x:c r="G1569" s="10" t="str">
        <x:f>IF(F1569="","",MIN(F1569,E1569))</x:f>
      </x:c>
      <x:c r="H1569" s="10" t="str">
        <x:f>IF(F1569="","",MAX(0,F1569-E1569))</x:f>
      </x:c>
      <x:c r="I1569" s="24"/>
      <x:c r="J1569" s="7"/>
      <x:c r="K1569" s="8" t="str">
        <x:f>IF(A1569="","",DATE(YEAR(A1569),MONTH(A1569),1))</x:f>
      </x:c>
    </x:row>
    <x:row r="1570">
      <x:c r="A1570" s="9"/>
      <x:c r="B1570" s="7"/>
      <x:c r="C1570" s="7" t="str">
        <x:f>IF(B1570="","",XLOOKUP(B1570,Employees!$A$4:$A$53,Employees!$B$4:$B$53,""))</x:f>
      </x:c>
      <x:c r="D1570" s="7"/>
      <x:c r="E1570" s="10" t="n">
        <x:v>8</x:v>
      </x:c>
      <x:c r="F1570" s="10"/>
      <x:c r="G1570" s="10" t="str">
        <x:f>IF(F1570="","",MIN(F1570,E1570))</x:f>
      </x:c>
      <x:c r="H1570" s="10" t="str">
        <x:f>IF(F1570="","",MAX(0,F1570-E1570))</x:f>
      </x:c>
      <x:c r="I1570" s="24"/>
      <x:c r="J1570" s="7"/>
      <x:c r="K1570" s="8" t="str">
        <x:f>IF(A1570="","",DATE(YEAR(A1570),MONTH(A1570),1))</x:f>
      </x:c>
    </x:row>
    <x:row r="1571">
      <x:c r="A1571" s="9"/>
      <x:c r="B1571" s="7"/>
      <x:c r="C1571" s="7" t="str">
        <x:f>IF(B1571="","",XLOOKUP(B1571,Employees!$A$4:$A$53,Employees!$B$4:$B$53,""))</x:f>
      </x:c>
      <x:c r="D1571" s="7"/>
      <x:c r="E1571" s="10" t="n">
        <x:v>8</x:v>
      </x:c>
      <x:c r="F1571" s="10"/>
      <x:c r="G1571" s="10" t="str">
        <x:f>IF(F1571="","",MIN(F1571,E1571))</x:f>
      </x:c>
      <x:c r="H1571" s="10" t="str">
        <x:f>IF(F1571="","",MAX(0,F1571-E1571))</x:f>
      </x:c>
      <x:c r="I1571" s="24"/>
      <x:c r="J1571" s="7"/>
      <x:c r="K1571" s="8" t="str">
        <x:f>IF(A1571="","",DATE(YEAR(A1571),MONTH(A1571),1))</x:f>
      </x:c>
    </x:row>
    <x:row r="1572">
      <x:c r="A1572" s="9"/>
      <x:c r="B1572" s="7"/>
      <x:c r="C1572" s="7" t="str">
        <x:f>IF(B1572="","",XLOOKUP(B1572,Employees!$A$4:$A$53,Employees!$B$4:$B$53,""))</x:f>
      </x:c>
      <x:c r="D1572" s="7"/>
      <x:c r="E1572" s="10" t="n">
        <x:v>8</x:v>
      </x:c>
      <x:c r="F1572" s="10"/>
      <x:c r="G1572" s="10" t="str">
        <x:f>IF(F1572="","",MIN(F1572,E1572))</x:f>
      </x:c>
      <x:c r="H1572" s="10" t="str">
        <x:f>IF(F1572="","",MAX(0,F1572-E1572))</x:f>
      </x:c>
      <x:c r="I1572" s="24"/>
      <x:c r="J1572" s="7"/>
      <x:c r="K1572" s="8" t="str">
        <x:f>IF(A1572="","",DATE(YEAR(A1572),MONTH(A1572),1))</x:f>
      </x:c>
    </x:row>
    <x:row r="1573">
      <x:c r="A1573" s="9"/>
      <x:c r="B1573" s="7"/>
      <x:c r="C1573" s="7" t="str">
        <x:f>IF(B1573="","",XLOOKUP(B1573,Employees!$A$4:$A$53,Employees!$B$4:$B$53,""))</x:f>
      </x:c>
      <x:c r="D1573" s="7"/>
      <x:c r="E1573" s="10" t="n">
        <x:v>8</x:v>
      </x:c>
      <x:c r="F1573" s="10"/>
      <x:c r="G1573" s="10" t="str">
        <x:f>IF(F1573="","",MIN(F1573,E1573))</x:f>
      </x:c>
      <x:c r="H1573" s="10" t="str">
        <x:f>IF(F1573="","",MAX(0,F1573-E1573))</x:f>
      </x:c>
      <x:c r="I1573" s="24"/>
      <x:c r="J1573" s="7"/>
      <x:c r="K1573" s="8" t="str">
        <x:f>IF(A1573="","",DATE(YEAR(A1573),MONTH(A1573),1))</x:f>
      </x:c>
    </x:row>
    <x:row r="1574">
      <x:c r="A1574" s="9"/>
      <x:c r="B1574" s="7"/>
      <x:c r="C1574" s="7" t="str">
        <x:f>IF(B1574="","",XLOOKUP(B1574,Employees!$A$4:$A$53,Employees!$B$4:$B$53,""))</x:f>
      </x:c>
      <x:c r="D1574" s="7"/>
      <x:c r="E1574" s="10" t="n">
        <x:v>8</x:v>
      </x:c>
      <x:c r="F1574" s="10"/>
      <x:c r="G1574" s="10" t="str">
        <x:f>IF(F1574="","",MIN(F1574,E1574))</x:f>
      </x:c>
      <x:c r="H1574" s="10" t="str">
        <x:f>IF(F1574="","",MAX(0,F1574-E1574))</x:f>
      </x:c>
      <x:c r="I1574" s="24"/>
      <x:c r="J1574" s="7"/>
      <x:c r="K1574" s="8" t="str">
        <x:f>IF(A1574="","",DATE(YEAR(A1574),MONTH(A1574),1))</x:f>
      </x:c>
    </x:row>
    <x:row r="1575">
      <x:c r="A1575" s="9"/>
      <x:c r="B1575" s="7"/>
      <x:c r="C1575" s="7" t="str">
        <x:f>IF(B1575="","",XLOOKUP(B1575,Employees!$A$4:$A$53,Employees!$B$4:$B$53,""))</x:f>
      </x:c>
      <x:c r="D1575" s="7"/>
      <x:c r="E1575" s="10" t="n">
        <x:v>8</x:v>
      </x:c>
      <x:c r="F1575" s="10"/>
      <x:c r="G1575" s="10" t="str">
        <x:f>IF(F1575="","",MIN(F1575,E1575))</x:f>
      </x:c>
      <x:c r="H1575" s="10" t="str">
        <x:f>IF(F1575="","",MAX(0,F1575-E1575))</x:f>
      </x:c>
      <x:c r="I1575" s="24"/>
      <x:c r="J1575" s="7"/>
      <x:c r="K1575" s="8" t="str">
        <x:f>IF(A1575="","",DATE(YEAR(A1575),MONTH(A1575),1))</x:f>
      </x:c>
    </x:row>
    <x:row r="1576">
      <x:c r="A1576" s="9"/>
      <x:c r="B1576" s="7"/>
      <x:c r="C1576" s="7" t="str">
        <x:f>IF(B1576="","",XLOOKUP(B1576,Employees!$A$4:$A$53,Employees!$B$4:$B$53,""))</x:f>
      </x:c>
      <x:c r="D1576" s="7"/>
      <x:c r="E1576" s="10" t="n">
        <x:v>8</x:v>
      </x:c>
      <x:c r="F1576" s="10"/>
      <x:c r="G1576" s="10" t="str">
        <x:f>IF(F1576="","",MIN(F1576,E1576))</x:f>
      </x:c>
      <x:c r="H1576" s="10" t="str">
        <x:f>IF(F1576="","",MAX(0,F1576-E1576))</x:f>
      </x:c>
      <x:c r="I1576" s="24"/>
      <x:c r="J1576" s="7"/>
      <x:c r="K1576" s="8" t="str">
        <x:f>IF(A1576="","",DATE(YEAR(A1576),MONTH(A1576),1))</x:f>
      </x:c>
    </x:row>
    <x:row r="1577">
      <x:c r="A1577" s="9"/>
      <x:c r="B1577" s="7"/>
      <x:c r="C1577" s="7" t="str">
        <x:f>IF(B1577="","",XLOOKUP(B1577,Employees!$A$4:$A$53,Employees!$B$4:$B$53,""))</x:f>
      </x:c>
      <x:c r="D1577" s="7"/>
      <x:c r="E1577" s="10" t="n">
        <x:v>8</x:v>
      </x:c>
      <x:c r="F1577" s="10"/>
      <x:c r="G1577" s="10" t="str">
        <x:f>IF(F1577="","",MIN(F1577,E1577))</x:f>
      </x:c>
      <x:c r="H1577" s="10" t="str">
        <x:f>IF(F1577="","",MAX(0,F1577-E1577))</x:f>
      </x:c>
      <x:c r="I1577" s="24"/>
      <x:c r="J1577" s="7"/>
      <x:c r="K1577" s="8" t="str">
        <x:f>IF(A1577="","",DATE(YEAR(A1577),MONTH(A1577),1))</x:f>
      </x:c>
    </x:row>
    <x:row r="1578">
      <x:c r="A1578" s="9"/>
      <x:c r="B1578" s="7"/>
      <x:c r="C1578" s="7" t="str">
        <x:f>IF(B1578="","",XLOOKUP(B1578,Employees!$A$4:$A$53,Employees!$B$4:$B$53,""))</x:f>
      </x:c>
      <x:c r="D1578" s="7"/>
      <x:c r="E1578" s="10" t="n">
        <x:v>8</x:v>
      </x:c>
      <x:c r="F1578" s="10"/>
      <x:c r="G1578" s="10" t="str">
        <x:f>IF(F1578="","",MIN(F1578,E1578))</x:f>
      </x:c>
      <x:c r="H1578" s="10" t="str">
        <x:f>IF(F1578="","",MAX(0,F1578-E1578))</x:f>
      </x:c>
      <x:c r="I1578" s="24"/>
      <x:c r="J1578" s="7"/>
      <x:c r="K1578" s="8" t="str">
        <x:f>IF(A1578="","",DATE(YEAR(A1578),MONTH(A1578),1))</x:f>
      </x:c>
    </x:row>
    <x:row r="1579">
      <x:c r="A1579" s="9"/>
      <x:c r="B1579" s="7"/>
      <x:c r="C1579" s="7" t="str">
        <x:f>IF(B1579="","",XLOOKUP(B1579,Employees!$A$4:$A$53,Employees!$B$4:$B$53,""))</x:f>
      </x:c>
      <x:c r="D1579" s="7"/>
      <x:c r="E1579" s="10" t="n">
        <x:v>8</x:v>
      </x:c>
      <x:c r="F1579" s="10"/>
      <x:c r="G1579" s="10" t="str">
        <x:f>IF(F1579="","",MIN(F1579,E1579))</x:f>
      </x:c>
      <x:c r="H1579" s="10" t="str">
        <x:f>IF(F1579="","",MAX(0,F1579-E1579))</x:f>
      </x:c>
      <x:c r="I1579" s="24"/>
      <x:c r="J1579" s="7"/>
      <x:c r="K1579" s="8" t="str">
        <x:f>IF(A1579="","",DATE(YEAR(A1579),MONTH(A1579),1))</x:f>
      </x:c>
    </x:row>
    <x:row r="1580">
      <x:c r="A1580" s="9"/>
      <x:c r="B1580" s="7"/>
      <x:c r="C1580" s="7" t="str">
        <x:f>IF(B1580="","",XLOOKUP(B1580,Employees!$A$4:$A$53,Employees!$B$4:$B$53,""))</x:f>
      </x:c>
      <x:c r="D1580" s="7"/>
      <x:c r="E1580" s="10" t="n">
        <x:v>8</x:v>
      </x:c>
      <x:c r="F1580" s="10"/>
      <x:c r="G1580" s="10" t="str">
        <x:f>IF(F1580="","",MIN(F1580,E1580))</x:f>
      </x:c>
      <x:c r="H1580" s="10" t="str">
        <x:f>IF(F1580="","",MAX(0,F1580-E1580))</x:f>
      </x:c>
      <x:c r="I1580" s="24"/>
      <x:c r="J1580" s="7"/>
      <x:c r="K1580" s="8" t="str">
        <x:f>IF(A1580="","",DATE(YEAR(A1580),MONTH(A1580),1))</x:f>
      </x:c>
    </x:row>
    <x:row r="1581">
      <x:c r="A1581" s="9"/>
      <x:c r="B1581" s="7"/>
      <x:c r="C1581" s="7" t="str">
        <x:f>IF(B1581="","",XLOOKUP(B1581,Employees!$A$4:$A$53,Employees!$B$4:$B$53,""))</x:f>
      </x:c>
      <x:c r="D1581" s="7"/>
      <x:c r="E1581" s="10" t="n">
        <x:v>8</x:v>
      </x:c>
      <x:c r="F1581" s="10"/>
      <x:c r="G1581" s="10" t="str">
        <x:f>IF(F1581="","",MIN(F1581,E1581))</x:f>
      </x:c>
      <x:c r="H1581" s="10" t="str">
        <x:f>IF(F1581="","",MAX(0,F1581-E1581))</x:f>
      </x:c>
      <x:c r="I1581" s="24"/>
      <x:c r="J1581" s="7"/>
      <x:c r="K1581" s="8" t="str">
        <x:f>IF(A1581="","",DATE(YEAR(A1581),MONTH(A1581),1))</x:f>
      </x:c>
    </x:row>
    <x:row r="1582">
      <x:c r="A1582" s="9"/>
      <x:c r="B1582" s="7"/>
      <x:c r="C1582" s="7" t="str">
        <x:f>IF(B1582="","",XLOOKUP(B1582,Employees!$A$4:$A$53,Employees!$B$4:$B$53,""))</x:f>
      </x:c>
      <x:c r="D1582" s="7"/>
      <x:c r="E1582" s="10" t="n">
        <x:v>8</x:v>
      </x:c>
      <x:c r="F1582" s="10"/>
      <x:c r="G1582" s="10" t="str">
        <x:f>IF(F1582="","",MIN(F1582,E1582))</x:f>
      </x:c>
      <x:c r="H1582" s="10" t="str">
        <x:f>IF(F1582="","",MAX(0,F1582-E1582))</x:f>
      </x:c>
      <x:c r="I1582" s="24"/>
      <x:c r="J1582" s="7"/>
      <x:c r="K1582" s="8" t="str">
        <x:f>IF(A1582="","",DATE(YEAR(A1582),MONTH(A1582),1))</x:f>
      </x:c>
    </x:row>
    <x:row r="1583">
      <x:c r="A1583" s="9"/>
      <x:c r="B1583" s="7"/>
      <x:c r="C1583" s="7" t="str">
        <x:f>IF(B1583="","",XLOOKUP(B1583,Employees!$A$4:$A$53,Employees!$B$4:$B$53,""))</x:f>
      </x:c>
      <x:c r="D1583" s="7"/>
      <x:c r="E1583" s="10" t="n">
        <x:v>8</x:v>
      </x:c>
      <x:c r="F1583" s="10"/>
      <x:c r="G1583" s="10" t="str">
        <x:f>IF(F1583="","",MIN(F1583,E1583))</x:f>
      </x:c>
      <x:c r="H1583" s="10" t="str">
        <x:f>IF(F1583="","",MAX(0,F1583-E1583))</x:f>
      </x:c>
      <x:c r="I1583" s="24"/>
      <x:c r="J1583" s="7"/>
      <x:c r="K1583" s="8" t="str">
        <x:f>IF(A1583="","",DATE(YEAR(A1583),MONTH(A1583),1))</x:f>
      </x:c>
    </x:row>
    <x:row r="1584">
      <x:c r="A1584" s="9"/>
      <x:c r="B1584" s="7"/>
      <x:c r="C1584" s="7" t="str">
        <x:f>IF(B1584="","",XLOOKUP(B1584,Employees!$A$4:$A$53,Employees!$B$4:$B$53,""))</x:f>
      </x:c>
      <x:c r="D1584" s="7"/>
      <x:c r="E1584" s="10" t="n">
        <x:v>8</x:v>
      </x:c>
      <x:c r="F1584" s="10"/>
      <x:c r="G1584" s="10" t="str">
        <x:f>IF(F1584="","",MIN(F1584,E1584))</x:f>
      </x:c>
      <x:c r="H1584" s="10" t="str">
        <x:f>IF(F1584="","",MAX(0,F1584-E1584))</x:f>
      </x:c>
      <x:c r="I1584" s="24"/>
      <x:c r="J1584" s="7"/>
      <x:c r="K1584" s="8" t="str">
        <x:f>IF(A1584="","",DATE(YEAR(A1584),MONTH(A1584),1))</x:f>
      </x:c>
    </x:row>
    <x:row r="1585">
      <x:c r="A1585" s="9"/>
      <x:c r="B1585" s="7"/>
      <x:c r="C1585" s="7" t="str">
        <x:f>IF(B1585="","",XLOOKUP(B1585,Employees!$A$4:$A$53,Employees!$B$4:$B$53,""))</x:f>
      </x:c>
      <x:c r="D1585" s="7"/>
      <x:c r="E1585" s="10" t="n">
        <x:v>8</x:v>
      </x:c>
      <x:c r="F1585" s="10"/>
      <x:c r="G1585" s="10" t="str">
        <x:f>IF(F1585="","",MIN(F1585,E1585))</x:f>
      </x:c>
      <x:c r="H1585" s="10" t="str">
        <x:f>IF(F1585="","",MAX(0,F1585-E1585))</x:f>
      </x:c>
      <x:c r="I1585" s="24"/>
      <x:c r="J1585" s="7"/>
      <x:c r="K1585" s="8" t="str">
        <x:f>IF(A1585="","",DATE(YEAR(A1585),MONTH(A1585),1))</x:f>
      </x:c>
    </x:row>
    <x:row r="1586">
      <x:c r="A1586" s="9"/>
      <x:c r="B1586" s="7"/>
      <x:c r="C1586" s="7" t="str">
        <x:f>IF(B1586="","",XLOOKUP(B1586,Employees!$A$4:$A$53,Employees!$B$4:$B$53,""))</x:f>
      </x:c>
      <x:c r="D1586" s="7"/>
      <x:c r="E1586" s="10" t="n">
        <x:v>8</x:v>
      </x:c>
      <x:c r="F1586" s="10"/>
      <x:c r="G1586" s="10" t="str">
        <x:f>IF(F1586="","",MIN(F1586,E1586))</x:f>
      </x:c>
      <x:c r="H1586" s="10" t="str">
        <x:f>IF(F1586="","",MAX(0,F1586-E1586))</x:f>
      </x:c>
      <x:c r="I1586" s="24"/>
      <x:c r="J1586" s="7"/>
      <x:c r="K1586" s="8" t="str">
        <x:f>IF(A1586="","",DATE(YEAR(A1586),MONTH(A1586),1))</x:f>
      </x:c>
    </x:row>
    <x:row r="1587">
      <x:c r="A1587" s="9"/>
      <x:c r="B1587" s="7"/>
      <x:c r="C1587" s="7" t="str">
        <x:f>IF(B1587="","",XLOOKUP(B1587,Employees!$A$4:$A$53,Employees!$B$4:$B$53,""))</x:f>
      </x:c>
      <x:c r="D1587" s="7"/>
      <x:c r="E1587" s="10" t="n">
        <x:v>8</x:v>
      </x:c>
      <x:c r="F1587" s="10"/>
      <x:c r="G1587" s="10" t="str">
        <x:f>IF(F1587="","",MIN(F1587,E1587))</x:f>
      </x:c>
      <x:c r="H1587" s="10" t="str">
        <x:f>IF(F1587="","",MAX(0,F1587-E1587))</x:f>
      </x:c>
      <x:c r="I1587" s="24"/>
      <x:c r="J1587" s="7"/>
      <x:c r="K1587" s="8" t="str">
        <x:f>IF(A1587="","",DATE(YEAR(A1587),MONTH(A1587),1))</x:f>
      </x:c>
    </x:row>
    <x:row r="1588">
      <x:c r="A1588" s="9"/>
      <x:c r="B1588" s="7"/>
      <x:c r="C1588" s="7" t="str">
        <x:f>IF(B1588="","",XLOOKUP(B1588,Employees!$A$4:$A$53,Employees!$B$4:$B$53,""))</x:f>
      </x:c>
      <x:c r="D1588" s="7"/>
      <x:c r="E1588" s="10" t="n">
        <x:v>8</x:v>
      </x:c>
      <x:c r="F1588" s="10"/>
      <x:c r="G1588" s="10" t="str">
        <x:f>IF(F1588="","",MIN(F1588,E1588))</x:f>
      </x:c>
      <x:c r="H1588" s="10" t="str">
        <x:f>IF(F1588="","",MAX(0,F1588-E1588))</x:f>
      </x:c>
      <x:c r="I1588" s="24"/>
      <x:c r="J1588" s="7"/>
      <x:c r="K1588" s="8" t="str">
        <x:f>IF(A1588="","",DATE(YEAR(A1588),MONTH(A1588),1))</x:f>
      </x:c>
    </x:row>
    <x:row r="1589">
      <x:c r="A1589" s="9"/>
      <x:c r="B1589" s="7"/>
      <x:c r="C1589" s="7" t="str">
        <x:f>IF(B1589="","",XLOOKUP(B1589,Employees!$A$4:$A$53,Employees!$B$4:$B$53,""))</x:f>
      </x:c>
      <x:c r="D1589" s="7"/>
      <x:c r="E1589" s="10" t="n">
        <x:v>8</x:v>
      </x:c>
      <x:c r="F1589" s="10"/>
      <x:c r="G1589" s="10" t="str">
        <x:f>IF(F1589="","",MIN(F1589,E1589))</x:f>
      </x:c>
      <x:c r="H1589" s="10" t="str">
        <x:f>IF(F1589="","",MAX(0,F1589-E1589))</x:f>
      </x:c>
      <x:c r="I1589" s="24"/>
      <x:c r="J1589" s="7"/>
      <x:c r="K1589" s="8" t="str">
        <x:f>IF(A1589="","",DATE(YEAR(A1589),MONTH(A1589),1))</x:f>
      </x:c>
    </x:row>
    <x:row r="1590">
      <x:c r="A1590" s="9"/>
      <x:c r="B1590" s="7"/>
      <x:c r="C1590" s="7" t="str">
        <x:f>IF(B1590="","",XLOOKUP(B1590,Employees!$A$4:$A$53,Employees!$B$4:$B$53,""))</x:f>
      </x:c>
      <x:c r="D1590" s="7"/>
      <x:c r="E1590" s="10" t="n">
        <x:v>8</x:v>
      </x:c>
      <x:c r="F1590" s="10"/>
      <x:c r="G1590" s="10" t="str">
        <x:f>IF(F1590="","",MIN(F1590,E1590))</x:f>
      </x:c>
      <x:c r="H1590" s="10" t="str">
        <x:f>IF(F1590="","",MAX(0,F1590-E1590))</x:f>
      </x:c>
      <x:c r="I1590" s="24"/>
      <x:c r="J1590" s="7"/>
      <x:c r="K1590" s="8" t="str">
        <x:f>IF(A1590="","",DATE(YEAR(A1590),MONTH(A1590),1))</x:f>
      </x:c>
    </x:row>
    <x:row r="1591">
      <x:c r="A1591" s="9"/>
      <x:c r="B1591" s="7"/>
      <x:c r="C1591" s="7" t="str">
        <x:f>IF(B1591="","",XLOOKUP(B1591,Employees!$A$4:$A$53,Employees!$B$4:$B$53,""))</x:f>
      </x:c>
      <x:c r="D1591" s="7"/>
      <x:c r="E1591" s="10" t="n">
        <x:v>8</x:v>
      </x:c>
      <x:c r="F1591" s="10"/>
      <x:c r="G1591" s="10" t="str">
        <x:f>IF(F1591="","",MIN(F1591,E1591))</x:f>
      </x:c>
      <x:c r="H1591" s="10" t="str">
        <x:f>IF(F1591="","",MAX(0,F1591-E1591))</x:f>
      </x:c>
      <x:c r="I1591" s="24"/>
      <x:c r="J1591" s="7"/>
      <x:c r="K1591" s="8" t="str">
        <x:f>IF(A1591="","",DATE(YEAR(A1591),MONTH(A1591),1))</x:f>
      </x:c>
    </x:row>
    <x:row r="1592">
      <x:c r="A1592" s="9"/>
      <x:c r="B1592" s="7"/>
      <x:c r="C1592" s="7" t="str">
        <x:f>IF(B1592="","",XLOOKUP(B1592,Employees!$A$4:$A$53,Employees!$B$4:$B$53,""))</x:f>
      </x:c>
      <x:c r="D1592" s="7"/>
      <x:c r="E1592" s="10" t="n">
        <x:v>8</x:v>
      </x:c>
      <x:c r="F1592" s="10"/>
      <x:c r="G1592" s="10" t="str">
        <x:f>IF(F1592="","",MIN(F1592,E1592))</x:f>
      </x:c>
      <x:c r="H1592" s="10" t="str">
        <x:f>IF(F1592="","",MAX(0,F1592-E1592))</x:f>
      </x:c>
      <x:c r="I1592" s="24"/>
      <x:c r="J1592" s="7"/>
      <x:c r="K1592" s="8" t="str">
        <x:f>IF(A1592="","",DATE(YEAR(A1592),MONTH(A1592),1))</x:f>
      </x:c>
    </x:row>
    <x:row r="1593">
      <x:c r="A1593" s="9"/>
      <x:c r="B1593" s="7"/>
      <x:c r="C1593" s="7" t="str">
        <x:f>IF(B1593="","",XLOOKUP(B1593,Employees!$A$4:$A$53,Employees!$B$4:$B$53,""))</x:f>
      </x:c>
      <x:c r="D1593" s="7"/>
      <x:c r="E1593" s="10" t="n">
        <x:v>8</x:v>
      </x:c>
      <x:c r="F1593" s="10"/>
      <x:c r="G1593" s="10" t="str">
        <x:f>IF(F1593="","",MIN(F1593,E1593))</x:f>
      </x:c>
      <x:c r="H1593" s="10" t="str">
        <x:f>IF(F1593="","",MAX(0,F1593-E1593))</x:f>
      </x:c>
      <x:c r="I1593" s="24"/>
      <x:c r="J1593" s="7"/>
      <x:c r="K1593" s="8" t="str">
        <x:f>IF(A1593="","",DATE(YEAR(A1593),MONTH(A1593),1))</x:f>
      </x:c>
    </x:row>
    <x:row r="1594">
      <x:c r="A1594" s="9"/>
      <x:c r="B1594" s="7"/>
      <x:c r="C1594" s="7" t="str">
        <x:f>IF(B1594="","",XLOOKUP(B1594,Employees!$A$4:$A$53,Employees!$B$4:$B$53,""))</x:f>
      </x:c>
      <x:c r="D1594" s="7"/>
      <x:c r="E1594" s="10" t="n">
        <x:v>8</x:v>
      </x:c>
      <x:c r="F1594" s="10"/>
      <x:c r="G1594" s="10" t="str">
        <x:f>IF(F1594="","",MIN(F1594,E1594))</x:f>
      </x:c>
      <x:c r="H1594" s="10" t="str">
        <x:f>IF(F1594="","",MAX(0,F1594-E1594))</x:f>
      </x:c>
      <x:c r="I1594" s="24"/>
      <x:c r="J1594" s="7"/>
      <x:c r="K1594" s="8" t="str">
        <x:f>IF(A1594="","",DATE(YEAR(A1594),MONTH(A1594),1))</x:f>
      </x:c>
    </x:row>
    <x:row r="1595">
      <x:c r="A1595" s="9"/>
      <x:c r="B1595" s="7"/>
      <x:c r="C1595" s="7" t="str">
        <x:f>IF(B1595="","",XLOOKUP(B1595,Employees!$A$4:$A$53,Employees!$B$4:$B$53,""))</x:f>
      </x:c>
      <x:c r="D1595" s="7"/>
      <x:c r="E1595" s="10" t="n">
        <x:v>8</x:v>
      </x:c>
      <x:c r="F1595" s="10"/>
      <x:c r="G1595" s="10" t="str">
        <x:f>IF(F1595="","",MIN(F1595,E1595))</x:f>
      </x:c>
      <x:c r="H1595" s="10" t="str">
        <x:f>IF(F1595="","",MAX(0,F1595-E1595))</x:f>
      </x:c>
      <x:c r="I1595" s="24"/>
      <x:c r="J1595" s="7"/>
      <x:c r="K1595" s="8" t="str">
        <x:f>IF(A1595="","",DATE(YEAR(A1595),MONTH(A1595),1))</x:f>
      </x:c>
    </x:row>
    <x:row r="1596">
      <x:c r="A1596" s="9"/>
      <x:c r="B1596" s="7"/>
      <x:c r="C1596" s="7" t="str">
        <x:f>IF(B1596="","",XLOOKUP(B1596,Employees!$A$4:$A$53,Employees!$B$4:$B$53,""))</x:f>
      </x:c>
      <x:c r="D1596" s="7"/>
      <x:c r="E1596" s="10" t="n">
        <x:v>8</x:v>
      </x:c>
      <x:c r="F1596" s="10"/>
      <x:c r="G1596" s="10" t="str">
        <x:f>IF(F1596="","",MIN(F1596,E1596))</x:f>
      </x:c>
      <x:c r="H1596" s="10" t="str">
        <x:f>IF(F1596="","",MAX(0,F1596-E1596))</x:f>
      </x:c>
      <x:c r="I1596" s="24"/>
      <x:c r="J1596" s="7"/>
      <x:c r="K1596" s="8" t="str">
        <x:f>IF(A1596="","",DATE(YEAR(A1596),MONTH(A1596),1))</x:f>
      </x:c>
    </x:row>
    <x:row r="1597">
      <x:c r="A1597" s="9"/>
      <x:c r="B1597" s="7"/>
      <x:c r="C1597" s="7" t="str">
        <x:f>IF(B1597="","",XLOOKUP(B1597,Employees!$A$4:$A$53,Employees!$B$4:$B$53,""))</x:f>
      </x:c>
      <x:c r="D1597" s="7"/>
      <x:c r="E1597" s="10" t="n">
        <x:v>8</x:v>
      </x:c>
      <x:c r="F1597" s="10"/>
      <x:c r="G1597" s="10" t="str">
        <x:f>IF(F1597="","",MIN(F1597,E1597))</x:f>
      </x:c>
      <x:c r="H1597" s="10" t="str">
        <x:f>IF(F1597="","",MAX(0,F1597-E1597))</x:f>
      </x:c>
      <x:c r="I1597" s="24"/>
      <x:c r="J1597" s="7"/>
      <x:c r="K1597" s="8" t="str">
        <x:f>IF(A1597="","",DATE(YEAR(A1597),MONTH(A1597),1))</x:f>
      </x:c>
    </x:row>
    <x:row r="1598">
      <x:c r="A1598" s="9"/>
      <x:c r="B1598" s="7"/>
      <x:c r="C1598" s="7" t="str">
        <x:f>IF(B1598="","",XLOOKUP(B1598,Employees!$A$4:$A$53,Employees!$B$4:$B$53,""))</x:f>
      </x:c>
      <x:c r="D1598" s="7"/>
      <x:c r="E1598" s="10" t="n">
        <x:v>8</x:v>
      </x:c>
      <x:c r="F1598" s="10"/>
      <x:c r="G1598" s="10" t="str">
        <x:f>IF(F1598="","",MIN(F1598,E1598))</x:f>
      </x:c>
      <x:c r="H1598" s="10" t="str">
        <x:f>IF(F1598="","",MAX(0,F1598-E1598))</x:f>
      </x:c>
      <x:c r="I1598" s="24"/>
      <x:c r="J1598" s="7"/>
      <x:c r="K1598" s="8" t="str">
        <x:f>IF(A1598="","",DATE(YEAR(A1598),MONTH(A1598),1))</x:f>
      </x:c>
    </x:row>
    <x:row r="1599">
      <x:c r="A1599" s="9"/>
      <x:c r="B1599" s="7"/>
      <x:c r="C1599" s="7" t="str">
        <x:f>IF(B1599="","",XLOOKUP(B1599,Employees!$A$4:$A$53,Employees!$B$4:$B$53,""))</x:f>
      </x:c>
      <x:c r="D1599" s="7"/>
      <x:c r="E1599" s="10" t="n">
        <x:v>8</x:v>
      </x:c>
      <x:c r="F1599" s="10"/>
      <x:c r="G1599" s="10" t="str">
        <x:f>IF(F1599="","",MIN(F1599,E1599))</x:f>
      </x:c>
      <x:c r="H1599" s="10" t="str">
        <x:f>IF(F1599="","",MAX(0,F1599-E1599))</x:f>
      </x:c>
      <x:c r="I1599" s="24"/>
      <x:c r="J1599" s="7"/>
      <x:c r="K1599" s="8" t="str">
        <x:f>IF(A1599="","",DATE(YEAR(A1599),MONTH(A1599),1))</x:f>
      </x:c>
    </x:row>
    <x:row r="1600">
      <x:c r="A1600" s="9"/>
      <x:c r="B1600" s="7"/>
      <x:c r="C1600" s="7" t="str">
        <x:f>IF(B1600="","",XLOOKUP(B1600,Employees!$A$4:$A$53,Employees!$B$4:$B$53,""))</x:f>
      </x:c>
      <x:c r="D1600" s="7"/>
      <x:c r="E1600" s="10" t="n">
        <x:v>8</x:v>
      </x:c>
      <x:c r="F1600" s="10"/>
      <x:c r="G1600" s="10" t="str">
        <x:f>IF(F1600="","",MIN(F1600,E1600))</x:f>
      </x:c>
      <x:c r="H1600" s="10" t="str">
        <x:f>IF(F1600="","",MAX(0,F1600-E1600))</x:f>
      </x:c>
      <x:c r="I1600" s="24"/>
      <x:c r="J1600" s="7"/>
      <x:c r="K1600" s="8" t="str">
        <x:f>IF(A1600="","",DATE(YEAR(A1600),MONTH(A1600),1))</x:f>
      </x:c>
    </x:row>
    <x:row r="1601">
      <x:c r="A1601" s="9"/>
      <x:c r="B1601" s="7"/>
      <x:c r="C1601" s="7" t="str">
        <x:f>IF(B1601="","",XLOOKUP(B1601,Employees!$A$4:$A$53,Employees!$B$4:$B$53,""))</x:f>
      </x:c>
      <x:c r="D1601" s="7"/>
      <x:c r="E1601" s="10" t="n">
        <x:v>8</x:v>
      </x:c>
      <x:c r="F1601" s="10"/>
      <x:c r="G1601" s="10" t="str">
        <x:f>IF(F1601="","",MIN(F1601,E1601))</x:f>
      </x:c>
      <x:c r="H1601" s="10" t="str">
        <x:f>IF(F1601="","",MAX(0,F1601-E1601))</x:f>
      </x:c>
      <x:c r="I1601" s="24"/>
      <x:c r="J1601" s="7"/>
      <x:c r="K1601" s="8" t="str">
        <x:f>IF(A1601="","",DATE(YEAR(A1601),MONTH(A1601),1))</x:f>
      </x:c>
    </x:row>
    <x:row r="1602">
      <x:c r="A1602" s="9"/>
      <x:c r="B1602" s="7"/>
      <x:c r="C1602" s="7" t="str">
        <x:f>IF(B1602="","",XLOOKUP(B1602,Employees!$A$4:$A$53,Employees!$B$4:$B$53,""))</x:f>
      </x:c>
      <x:c r="D1602" s="7"/>
      <x:c r="E1602" s="10" t="n">
        <x:v>8</x:v>
      </x:c>
      <x:c r="F1602" s="10"/>
      <x:c r="G1602" s="10" t="str">
        <x:f>IF(F1602="","",MIN(F1602,E1602))</x:f>
      </x:c>
      <x:c r="H1602" s="10" t="str">
        <x:f>IF(F1602="","",MAX(0,F1602-E1602))</x:f>
      </x:c>
      <x:c r="I1602" s="24"/>
      <x:c r="J1602" s="7"/>
      <x:c r="K1602" s="8" t="str">
        <x:f>IF(A1602="","",DATE(YEAR(A1602),MONTH(A1602),1))</x:f>
      </x:c>
    </x:row>
    <x:row r="1603">
      <x:c r="A1603" s="9"/>
      <x:c r="B1603" s="7"/>
      <x:c r="C1603" s="7" t="str">
        <x:f>IF(B1603="","",XLOOKUP(B1603,Employees!$A$4:$A$53,Employees!$B$4:$B$53,""))</x:f>
      </x:c>
      <x:c r="D1603" s="7"/>
      <x:c r="E1603" s="10" t="n">
        <x:v>8</x:v>
      </x:c>
      <x:c r="F1603" s="10"/>
      <x:c r="G1603" s="10" t="str">
        <x:f>IF(F1603="","",MIN(F1603,E1603))</x:f>
      </x:c>
      <x:c r="H1603" s="10" t="str">
        <x:f>IF(F1603="","",MAX(0,F1603-E1603))</x:f>
      </x:c>
      <x:c r="I1603" s="24"/>
      <x:c r="J1603" s="7"/>
      <x:c r="K1603" s="8" t="str">
        <x:f>IF(A1603="","",DATE(YEAR(A1603),MONTH(A1603),1))</x:f>
      </x:c>
    </x:row>
    <x:row r="1604">
      <x:c r="A1604" s="9"/>
      <x:c r="B1604" s="7"/>
      <x:c r="C1604" s="7" t="str">
        <x:f>IF(B1604="","",XLOOKUP(B1604,Employees!$A$4:$A$53,Employees!$B$4:$B$53,""))</x:f>
      </x:c>
      <x:c r="D1604" s="7"/>
      <x:c r="E1604" s="10" t="n">
        <x:v>8</x:v>
      </x:c>
      <x:c r="F1604" s="10"/>
      <x:c r="G1604" s="10" t="str">
        <x:f>IF(F1604="","",MIN(F1604,E1604))</x:f>
      </x:c>
      <x:c r="H1604" s="10" t="str">
        <x:f>IF(F1604="","",MAX(0,F1604-E1604))</x:f>
      </x:c>
      <x:c r="I1604" s="24"/>
      <x:c r="J1604" s="7"/>
      <x:c r="K1604" s="8" t="str">
        <x:f>IF(A1604="","",DATE(YEAR(A1604),MONTH(A1604),1))</x:f>
      </x:c>
    </x:row>
    <x:row r="1605">
      <x:c r="A1605" s="9"/>
      <x:c r="B1605" s="7"/>
      <x:c r="C1605" s="7" t="str">
        <x:f>IF(B1605="","",XLOOKUP(B1605,Employees!$A$4:$A$53,Employees!$B$4:$B$53,""))</x:f>
      </x:c>
      <x:c r="D1605" s="7"/>
      <x:c r="E1605" s="10" t="n">
        <x:v>8</x:v>
      </x:c>
      <x:c r="F1605" s="10"/>
      <x:c r="G1605" s="10" t="str">
        <x:f>IF(F1605="","",MIN(F1605,E1605))</x:f>
      </x:c>
      <x:c r="H1605" s="10" t="str">
        <x:f>IF(F1605="","",MAX(0,F1605-E1605))</x:f>
      </x:c>
      <x:c r="I1605" s="24"/>
      <x:c r="J1605" s="7"/>
      <x:c r="K1605" s="8" t="str">
        <x:f>IF(A1605="","",DATE(YEAR(A1605),MONTH(A1605),1))</x:f>
      </x:c>
    </x:row>
    <x:row r="1606">
      <x:c r="A1606" s="9"/>
      <x:c r="B1606" s="7"/>
      <x:c r="C1606" s="7" t="str">
        <x:f>IF(B1606="","",XLOOKUP(B1606,Employees!$A$4:$A$53,Employees!$B$4:$B$53,""))</x:f>
      </x:c>
      <x:c r="D1606" s="7"/>
      <x:c r="E1606" s="10" t="n">
        <x:v>8</x:v>
      </x:c>
      <x:c r="F1606" s="10"/>
      <x:c r="G1606" s="10" t="str">
        <x:f>IF(F1606="","",MIN(F1606,E1606))</x:f>
      </x:c>
      <x:c r="H1606" s="10" t="str">
        <x:f>IF(F1606="","",MAX(0,F1606-E1606))</x:f>
      </x:c>
      <x:c r="I1606" s="24"/>
      <x:c r="J1606" s="7"/>
      <x:c r="K1606" s="8" t="str">
        <x:f>IF(A1606="","",DATE(YEAR(A1606),MONTH(A1606),1))</x:f>
      </x:c>
    </x:row>
    <x:row r="1607">
      <x:c r="A1607" s="9"/>
      <x:c r="B1607" s="7"/>
      <x:c r="C1607" s="7" t="str">
        <x:f>IF(B1607="","",XLOOKUP(B1607,Employees!$A$4:$A$53,Employees!$B$4:$B$53,""))</x:f>
      </x:c>
      <x:c r="D1607" s="7"/>
      <x:c r="E1607" s="10" t="n">
        <x:v>8</x:v>
      </x:c>
      <x:c r="F1607" s="10"/>
      <x:c r="G1607" s="10" t="str">
        <x:f>IF(F1607="","",MIN(F1607,E1607))</x:f>
      </x:c>
      <x:c r="H1607" s="10" t="str">
        <x:f>IF(F1607="","",MAX(0,F1607-E1607))</x:f>
      </x:c>
      <x:c r="I1607" s="24"/>
      <x:c r="J1607" s="7"/>
      <x:c r="K1607" s="8" t="str">
        <x:f>IF(A1607="","",DATE(YEAR(A1607),MONTH(A1607),1))</x:f>
      </x:c>
    </x:row>
    <x:row r="1608">
      <x:c r="A1608" s="9"/>
      <x:c r="B1608" s="7"/>
      <x:c r="C1608" s="7" t="str">
        <x:f>IF(B1608="","",XLOOKUP(B1608,Employees!$A$4:$A$53,Employees!$B$4:$B$53,""))</x:f>
      </x:c>
      <x:c r="D1608" s="7"/>
      <x:c r="E1608" s="10" t="n">
        <x:v>8</x:v>
      </x:c>
      <x:c r="F1608" s="10"/>
      <x:c r="G1608" s="10" t="str">
        <x:f>IF(F1608="","",MIN(F1608,E1608))</x:f>
      </x:c>
      <x:c r="H1608" s="10" t="str">
        <x:f>IF(F1608="","",MAX(0,F1608-E1608))</x:f>
      </x:c>
      <x:c r="I1608" s="24"/>
      <x:c r="J1608" s="7"/>
      <x:c r="K1608" s="8" t="str">
        <x:f>IF(A1608="","",DATE(YEAR(A1608),MONTH(A1608),1))</x:f>
      </x:c>
    </x:row>
    <x:row r="1609">
      <x:c r="A1609" s="9"/>
      <x:c r="B1609" s="7"/>
      <x:c r="C1609" s="7" t="str">
        <x:f>IF(B1609="","",XLOOKUP(B1609,Employees!$A$4:$A$53,Employees!$B$4:$B$53,""))</x:f>
      </x:c>
      <x:c r="D1609" s="7"/>
      <x:c r="E1609" s="10" t="n">
        <x:v>8</x:v>
      </x:c>
      <x:c r="F1609" s="10"/>
      <x:c r="G1609" s="10" t="str">
        <x:f>IF(F1609="","",MIN(F1609,E1609))</x:f>
      </x:c>
      <x:c r="H1609" s="10" t="str">
        <x:f>IF(F1609="","",MAX(0,F1609-E1609))</x:f>
      </x:c>
      <x:c r="I1609" s="24"/>
      <x:c r="J1609" s="7"/>
      <x:c r="K1609" s="8" t="str">
        <x:f>IF(A1609="","",DATE(YEAR(A1609),MONTH(A1609),1))</x:f>
      </x:c>
    </x:row>
    <x:row r="1610">
      <x:c r="A1610" s="9"/>
      <x:c r="B1610" s="7"/>
      <x:c r="C1610" s="7" t="str">
        <x:f>IF(B1610="","",XLOOKUP(B1610,Employees!$A$4:$A$53,Employees!$B$4:$B$53,""))</x:f>
      </x:c>
      <x:c r="D1610" s="7"/>
      <x:c r="E1610" s="10" t="n">
        <x:v>8</x:v>
      </x:c>
      <x:c r="F1610" s="10"/>
      <x:c r="G1610" s="10" t="str">
        <x:f>IF(F1610="","",MIN(F1610,E1610))</x:f>
      </x:c>
      <x:c r="H1610" s="10" t="str">
        <x:f>IF(F1610="","",MAX(0,F1610-E1610))</x:f>
      </x:c>
      <x:c r="I1610" s="24"/>
      <x:c r="J1610" s="7"/>
      <x:c r="K1610" s="8" t="str">
        <x:f>IF(A1610="","",DATE(YEAR(A1610),MONTH(A1610),1))</x:f>
      </x:c>
    </x:row>
    <x:row r="1611">
      <x:c r="A1611" s="9"/>
      <x:c r="B1611" s="7"/>
      <x:c r="C1611" s="7" t="str">
        <x:f>IF(B1611="","",XLOOKUP(B1611,Employees!$A$4:$A$53,Employees!$B$4:$B$53,""))</x:f>
      </x:c>
      <x:c r="D1611" s="7"/>
      <x:c r="E1611" s="10" t="n">
        <x:v>8</x:v>
      </x:c>
      <x:c r="F1611" s="10"/>
      <x:c r="G1611" s="10" t="str">
        <x:f>IF(F1611="","",MIN(F1611,E1611))</x:f>
      </x:c>
      <x:c r="H1611" s="10" t="str">
        <x:f>IF(F1611="","",MAX(0,F1611-E1611))</x:f>
      </x:c>
      <x:c r="I1611" s="24"/>
      <x:c r="J1611" s="7"/>
      <x:c r="K1611" s="8" t="str">
        <x:f>IF(A1611="","",DATE(YEAR(A1611),MONTH(A1611),1))</x:f>
      </x:c>
    </x:row>
    <x:row r="1612">
      <x:c r="A1612" s="9"/>
      <x:c r="B1612" s="7"/>
      <x:c r="C1612" s="7" t="str">
        <x:f>IF(B1612="","",XLOOKUP(B1612,Employees!$A$4:$A$53,Employees!$B$4:$B$53,""))</x:f>
      </x:c>
      <x:c r="D1612" s="7"/>
      <x:c r="E1612" s="10" t="n">
        <x:v>8</x:v>
      </x:c>
      <x:c r="F1612" s="10"/>
      <x:c r="G1612" s="10" t="str">
        <x:f>IF(F1612="","",MIN(F1612,E1612))</x:f>
      </x:c>
      <x:c r="H1612" s="10" t="str">
        <x:f>IF(F1612="","",MAX(0,F1612-E1612))</x:f>
      </x:c>
      <x:c r="I1612" s="24"/>
      <x:c r="J1612" s="7"/>
      <x:c r="K1612" s="8" t="str">
        <x:f>IF(A1612="","",DATE(YEAR(A1612),MONTH(A1612),1))</x:f>
      </x:c>
    </x:row>
    <x:row r="1613">
      <x:c r="A1613" s="9"/>
      <x:c r="B1613" s="7"/>
      <x:c r="C1613" s="7" t="str">
        <x:f>IF(B1613="","",XLOOKUP(B1613,Employees!$A$4:$A$53,Employees!$B$4:$B$53,""))</x:f>
      </x:c>
      <x:c r="D1613" s="7"/>
      <x:c r="E1613" s="10" t="n">
        <x:v>8</x:v>
      </x:c>
      <x:c r="F1613" s="10"/>
      <x:c r="G1613" s="10" t="str">
        <x:f>IF(F1613="","",MIN(F1613,E1613))</x:f>
      </x:c>
      <x:c r="H1613" s="10" t="str">
        <x:f>IF(F1613="","",MAX(0,F1613-E1613))</x:f>
      </x:c>
      <x:c r="I1613" s="24"/>
      <x:c r="J1613" s="7"/>
      <x:c r="K1613" s="8" t="str">
        <x:f>IF(A1613="","",DATE(YEAR(A1613),MONTH(A1613),1))</x:f>
      </x:c>
    </x:row>
    <x:row r="1614">
      <x:c r="A1614" s="9"/>
      <x:c r="B1614" s="7"/>
      <x:c r="C1614" s="7" t="str">
        <x:f>IF(B1614="","",XLOOKUP(B1614,Employees!$A$4:$A$53,Employees!$B$4:$B$53,""))</x:f>
      </x:c>
      <x:c r="D1614" s="7"/>
      <x:c r="E1614" s="10" t="n">
        <x:v>8</x:v>
      </x:c>
      <x:c r="F1614" s="10"/>
      <x:c r="G1614" s="10" t="str">
        <x:f>IF(F1614="","",MIN(F1614,E1614))</x:f>
      </x:c>
      <x:c r="H1614" s="10" t="str">
        <x:f>IF(F1614="","",MAX(0,F1614-E1614))</x:f>
      </x:c>
      <x:c r="I1614" s="24"/>
      <x:c r="J1614" s="7"/>
      <x:c r="K1614" s="8" t="str">
        <x:f>IF(A1614="","",DATE(YEAR(A1614),MONTH(A1614),1))</x:f>
      </x:c>
    </x:row>
    <x:row r="1615">
      <x:c r="A1615" s="9"/>
      <x:c r="B1615" s="7"/>
      <x:c r="C1615" s="7" t="str">
        <x:f>IF(B1615="","",XLOOKUP(B1615,Employees!$A$4:$A$53,Employees!$B$4:$B$53,""))</x:f>
      </x:c>
      <x:c r="D1615" s="7"/>
      <x:c r="E1615" s="10" t="n">
        <x:v>8</x:v>
      </x:c>
      <x:c r="F1615" s="10"/>
      <x:c r="G1615" s="10" t="str">
        <x:f>IF(F1615="","",MIN(F1615,E1615))</x:f>
      </x:c>
      <x:c r="H1615" s="10" t="str">
        <x:f>IF(F1615="","",MAX(0,F1615-E1615))</x:f>
      </x:c>
      <x:c r="I1615" s="24"/>
      <x:c r="J1615" s="7"/>
      <x:c r="K1615" s="8" t="str">
        <x:f>IF(A1615="","",DATE(YEAR(A1615),MONTH(A1615),1))</x:f>
      </x:c>
    </x:row>
    <x:row r="1616">
      <x:c r="A1616" s="9"/>
      <x:c r="B1616" s="7"/>
      <x:c r="C1616" s="7" t="str">
        <x:f>IF(B1616="","",XLOOKUP(B1616,Employees!$A$4:$A$53,Employees!$B$4:$B$53,""))</x:f>
      </x:c>
      <x:c r="D1616" s="7"/>
      <x:c r="E1616" s="10" t="n">
        <x:v>8</x:v>
      </x:c>
      <x:c r="F1616" s="10"/>
      <x:c r="G1616" s="10" t="str">
        <x:f>IF(F1616="","",MIN(F1616,E1616))</x:f>
      </x:c>
      <x:c r="H1616" s="10" t="str">
        <x:f>IF(F1616="","",MAX(0,F1616-E1616))</x:f>
      </x:c>
      <x:c r="I1616" s="24"/>
      <x:c r="J1616" s="7"/>
      <x:c r="K1616" s="8" t="str">
        <x:f>IF(A1616="","",DATE(YEAR(A1616),MONTH(A1616),1))</x:f>
      </x:c>
    </x:row>
    <x:row r="1617">
      <x:c r="A1617" s="9"/>
      <x:c r="B1617" s="7"/>
      <x:c r="C1617" s="7" t="str">
        <x:f>IF(B1617="","",XLOOKUP(B1617,Employees!$A$4:$A$53,Employees!$B$4:$B$53,""))</x:f>
      </x:c>
      <x:c r="D1617" s="7"/>
      <x:c r="E1617" s="10" t="n">
        <x:v>8</x:v>
      </x:c>
      <x:c r="F1617" s="10"/>
      <x:c r="G1617" s="10" t="str">
        <x:f>IF(F1617="","",MIN(F1617,E1617))</x:f>
      </x:c>
      <x:c r="H1617" s="10" t="str">
        <x:f>IF(F1617="","",MAX(0,F1617-E1617))</x:f>
      </x:c>
      <x:c r="I1617" s="24"/>
      <x:c r="J1617" s="7"/>
      <x:c r="K1617" s="8" t="str">
        <x:f>IF(A1617="","",DATE(YEAR(A1617),MONTH(A1617),1))</x:f>
      </x:c>
    </x:row>
    <x:row r="1618">
      <x:c r="A1618" s="9"/>
      <x:c r="B1618" s="7"/>
      <x:c r="C1618" s="7" t="str">
        <x:f>IF(B1618="","",XLOOKUP(B1618,Employees!$A$4:$A$53,Employees!$B$4:$B$53,""))</x:f>
      </x:c>
      <x:c r="D1618" s="7"/>
      <x:c r="E1618" s="10" t="n">
        <x:v>8</x:v>
      </x:c>
      <x:c r="F1618" s="10"/>
      <x:c r="G1618" s="10" t="str">
        <x:f>IF(F1618="","",MIN(F1618,E1618))</x:f>
      </x:c>
      <x:c r="H1618" s="10" t="str">
        <x:f>IF(F1618="","",MAX(0,F1618-E1618))</x:f>
      </x:c>
      <x:c r="I1618" s="24"/>
      <x:c r="J1618" s="7"/>
      <x:c r="K1618" s="8" t="str">
        <x:f>IF(A1618="","",DATE(YEAR(A1618),MONTH(A1618),1))</x:f>
      </x:c>
    </x:row>
    <x:row r="1619">
      <x:c r="A1619" s="9"/>
      <x:c r="B1619" s="7"/>
      <x:c r="C1619" s="7" t="str">
        <x:f>IF(B1619="","",XLOOKUP(B1619,Employees!$A$4:$A$53,Employees!$B$4:$B$53,""))</x:f>
      </x:c>
      <x:c r="D1619" s="7"/>
      <x:c r="E1619" s="10" t="n">
        <x:v>8</x:v>
      </x:c>
      <x:c r="F1619" s="10"/>
      <x:c r="G1619" s="10" t="str">
        <x:f>IF(F1619="","",MIN(F1619,E1619))</x:f>
      </x:c>
      <x:c r="H1619" s="10" t="str">
        <x:f>IF(F1619="","",MAX(0,F1619-E1619))</x:f>
      </x:c>
      <x:c r="I1619" s="24"/>
      <x:c r="J1619" s="7"/>
      <x:c r="K1619" s="8" t="str">
        <x:f>IF(A1619="","",DATE(YEAR(A1619),MONTH(A1619),1))</x:f>
      </x:c>
    </x:row>
    <x:row r="1620">
      <x:c r="A1620" s="9"/>
      <x:c r="B1620" s="7"/>
      <x:c r="C1620" s="7" t="str">
        <x:f>IF(B1620="","",XLOOKUP(B1620,Employees!$A$4:$A$53,Employees!$B$4:$B$53,""))</x:f>
      </x:c>
      <x:c r="D1620" s="7"/>
      <x:c r="E1620" s="10" t="n">
        <x:v>8</x:v>
      </x:c>
      <x:c r="F1620" s="10"/>
      <x:c r="G1620" s="10" t="str">
        <x:f>IF(F1620="","",MIN(F1620,E1620))</x:f>
      </x:c>
      <x:c r="H1620" s="10" t="str">
        <x:f>IF(F1620="","",MAX(0,F1620-E1620))</x:f>
      </x:c>
      <x:c r="I1620" s="24"/>
      <x:c r="J1620" s="7"/>
      <x:c r="K1620" s="8" t="str">
        <x:f>IF(A1620="","",DATE(YEAR(A1620),MONTH(A1620),1))</x:f>
      </x:c>
    </x:row>
    <x:row r="1621">
      <x:c r="A1621" s="9"/>
      <x:c r="B1621" s="7"/>
      <x:c r="C1621" s="7" t="str">
        <x:f>IF(B1621="","",XLOOKUP(B1621,Employees!$A$4:$A$53,Employees!$B$4:$B$53,""))</x:f>
      </x:c>
      <x:c r="D1621" s="7"/>
      <x:c r="E1621" s="10" t="n">
        <x:v>8</x:v>
      </x:c>
      <x:c r="F1621" s="10"/>
      <x:c r="G1621" s="10" t="str">
        <x:f>IF(F1621="","",MIN(F1621,E1621))</x:f>
      </x:c>
      <x:c r="H1621" s="10" t="str">
        <x:f>IF(F1621="","",MAX(0,F1621-E1621))</x:f>
      </x:c>
      <x:c r="I1621" s="24"/>
      <x:c r="J1621" s="7"/>
      <x:c r="K1621" s="8" t="str">
        <x:f>IF(A1621="","",DATE(YEAR(A1621),MONTH(A1621),1))</x:f>
      </x:c>
    </x:row>
    <x:row r="1622">
      <x:c r="A1622" s="9"/>
      <x:c r="B1622" s="7"/>
      <x:c r="C1622" s="7" t="str">
        <x:f>IF(B1622="","",XLOOKUP(B1622,Employees!$A$4:$A$53,Employees!$B$4:$B$53,""))</x:f>
      </x:c>
      <x:c r="D1622" s="7"/>
      <x:c r="E1622" s="10" t="n">
        <x:v>8</x:v>
      </x:c>
      <x:c r="F1622" s="10"/>
      <x:c r="G1622" s="10" t="str">
        <x:f>IF(F1622="","",MIN(F1622,E1622))</x:f>
      </x:c>
      <x:c r="H1622" s="10" t="str">
        <x:f>IF(F1622="","",MAX(0,F1622-E1622))</x:f>
      </x:c>
      <x:c r="I1622" s="24"/>
      <x:c r="J1622" s="7"/>
      <x:c r="K1622" s="8" t="str">
        <x:f>IF(A1622="","",DATE(YEAR(A1622),MONTH(A1622),1))</x:f>
      </x:c>
    </x:row>
    <x:row r="1623">
      <x:c r="A1623" s="9"/>
      <x:c r="B1623" s="7"/>
      <x:c r="C1623" s="7" t="str">
        <x:f>IF(B1623="","",XLOOKUP(B1623,Employees!$A$4:$A$53,Employees!$B$4:$B$53,""))</x:f>
      </x:c>
      <x:c r="D1623" s="7"/>
      <x:c r="E1623" s="10" t="n">
        <x:v>8</x:v>
      </x:c>
      <x:c r="F1623" s="10"/>
      <x:c r="G1623" s="10" t="str">
        <x:f>IF(F1623="","",MIN(F1623,E1623))</x:f>
      </x:c>
      <x:c r="H1623" s="10" t="str">
        <x:f>IF(F1623="","",MAX(0,F1623-E1623))</x:f>
      </x:c>
      <x:c r="I1623" s="24"/>
      <x:c r="J1623" s="7"/>
      <x:c r="K1623" s="8" t="str">
        <x:f>IF(A1623="","",DATE(YEAR(A1623),MONTH(A1623),1))</x:f>
      </x:c>
    </x:row>
    <x:row r="1624">
      <x:c r="A1624" s="9"/>
      <x:c r="B1624" s="7"/>
      <x:c r="C1624" s="7" t="str">
        <x:f>IF(B1624="","",XLOOKUP(B1624,Employees!$A$4:$A$53,Employees!$B$4:$B$53,""))</x:f>
      </x:c>
      <x:c r="D1624" s="7"/>
      <x:c r="E1624" s="10" t="n">
        <x:v>8</x:v>
      </x:c>
      <x:c r="F1624" s="10"/>
      <x:c r="G1624" s="10" t="str">
        <x:f>IF(F1624="","",MIN(F1624,E1624))</x:f>
      </x:c>
      <x:c r="H1624" s="10" t="str">
        <x:f>IF(F1624="","",MAX(0,F1624-E1624))</x:f>
      </x:c>
      <x:c r="I1624" s="24"/>
      <x:c r="J1624" s="7"/>
      <x:c r="K1624" s="8" t="str">
        <x:f>IF(A1624="","",DATE(YEAR(A1624),MONTH(A1624),1))</x:f>
      </x:c>
    </x:row>
    <x:row r="1625">
      <x:c r="A1625" s="9"/>
      <x:c r="B1625" s="7"/>
      <x:c r="C1625" s="7" t="str">
        <x:f>IF(B1625="","",XLOOKUP(B1625,Employees!$A$4:$A$53,Employees!$B$4:$B$53,""))</x:f>
      </x:c>
      <x:c r="D1625" s="7"/>
      <x:c r="E1625" s="10" t="n">
        <x:v>8</x:v>
      </x:c>
      <x:c r="F1625" s="10"/>
      <x:c r="G1625" s="10" t="str">
        <x:f>IF(F1625="","",MIN(F1625,E1625))</x:f>
      </x:c>
      <x:c r="H1625" s="10" t="str">
        <x:f>IF(F1625="","",MAX(0,F1625-E1625))</x:f>
      </x:c>
      <x:c r="I1625" s="24"/>
      <x:c r="J1625" s="7"/>
      <x:c r="K1625" s="8" t="str">
        <x:f>IF(A1625="","",DATE(YEAR(A1625),MONTH(A1625),1))</x:f>
      </x:c>
    </x:row>
    <x:row r="1626">
      <x:c r="A1626" s="9"/>
      <x:c r="B1626" s="7"/>
      <x:c r="C1626" s="7" t="str">
        <x:f>IF(B1626="","",XLOOKUP(B1626,Employees!$A$4:$A$53,Employees!$B$4:$B$53,""))</x:f>
      </x:c>
      <x:c r="D1626" s="7"/>
      <x:c r="E1626" s="10" t="n">
        <x:v>8</x:v>
      </x:c>
      <x:c r="F1626" s="10"/>
      <x:c r="G1626" s="10" t="str">
        <x:f>IF(F1626="","",MIN(F1626,E1626))</x:f>
      </x:c>
      <x:c r="H1626" s="10" t="str">
        <x:f>IF(F1626="","",MAX(0,F1626-E1626))</x:f>
      </x:c>
      <x:c r="I1626" s="24"/>
      <x:c r="J1626" s="7"/>
      <x:c r="K1626" s="8" t="str">
        <x:f>IF(A1626="","",DATE(YEAR(A1626),MONTH(A1626),1))</x:f>
      </x:c>
    </x:row>
    <x:row r="1627">
      <x:c r="A1627" s="9"/>
      <x:c r="B1627" s="7"/>
      <x:c r="C1627" s="7" t="str">
        <x:f>IF(B1627="","",XLOOKUP(B1627,Employees!$A$4:$A$53,Employees!$B$4:$B$53,""))</x:f>
      </x:c>
      <x:c r="D1627" s="7"/>
      <x:c r="E1627" s="10" t="n">
        <x:v>8</x:v>
      </x:c>
      <x:c r="F1627" s="10"/>
      <x:c r="G1627" s="10" t="str">
        <x:f>IF(F1627="","",MIN(F1627,E1627))</x:f>
      </x:c>
      <x:c r="H1627" s="10" t="str">
        <x:f>IF(F1627="","",MAX(0,F1627-E1627))</x:f>
      </x:c>
      <x:c r="I1627" s="24"/>
      <x:c r="J1627" s="7"/>
      <x:c r="K1627" s="8" t="str">
        <x:f>IF(A1627="","",DATE(YEAR(A1627),MONTH(A1627),1))</x:f>
      </x:c>
    </x:row>
    <x:row r="1628">
      <x:c r="A1628" s="9"/>
      <x:c r="B1628" s="7"/>
      <x:c r="C1628" s="7" t="str">
        <x:f>IF(B1628="","",XLOOKUP(B1628,Employees!$A$4:$A$53,Employees!$B$4:$B$53,""))</x:f>
      </x:c>
      <x:c r="D1628" s="7"/>
      <x:c r="E1628" s="10" t="n">
        <x:v>8</x:v>
      </x:c>
      <x:c r="F1628" s="10"/>
      <x:c r="G1628" s="10" t="str">
        <x:f>IF(F1628="","",MIN(F1628,E1628))</x:f>
      </x:c>
      <x:c r="H1628" s="10" t="str">
        <x:f>IF(F1628="","",MAX(0,F1628-E1628))</x:f>
      </x:c>
      <x:c r="I1628" s="24"/>
      <x:c r="J1628" s="7"/>
      <x:c r="K1628" s="8" t="str">
        <x:f>IF(A1628="","",DATE(YEAR(A1628),MONTH(A1628),1))</x:f>
      </x:c>
    </x:row>
    <x:row r="1629">
      <x:c r="A1629" s="9"/>
      <x:c r="B1629" s="7"/>
      <x:c r="C1629" s="7" t="str">
        <x:f>IF(B1629="","",XLOOKUP(B1629,Employees!$A$4:$A$53,Employees!$B$4:$B$53,""))</x:f>
      </x:c>
      <x:c r="D1629" s="7"/>
      <x:c r="E1629" s="10" t="n">
        <x:v>8</x:v>
      </x:c>
      <x:c r="F1629" s="10"/>
      <x:c r="G1629" s="10" t="str">
        <x:f>IF(F1629="","",MIN(F1629,E1629))</x:f>
      </x:c>
      <x:c r="H1629" s="10" t="str">
        <x:f>IF(F1629="","",MAX(0,F1629-E1629))</x:f>
      </x:c>
      <x:c r="I1629" s="24"/>
      <x:c r="J1629" s="7"/>
      <x:c r="K1629" s="8" t="str">
        <x:f>IF(A1629="","",DATE(YEAR(A1629),MONTH(A1629),1))</x:f>
      </x:c>
    </x:row>
    <x:row r="1630">
      <x:c r="A1630" s="9"/>
      <x:c r="B1630" s="7"/>
      <x:c r="C1630" s="7" t="str">
        <x:f>IF(B1630="","",XLOOKUP(B1630,Employees!$A$4:$A$53,Employees!$B$4:$B$53,""))</x:f>
      </x:c>
      <x:c r="D1630" s="7"/>
      <x:c r="E1630" s="10" t="n">
        <x:v>8</x:v>
      </x:c>
      <x:c r="F1630" s="10"/>
      <x:c r="G1630" s="10" t="str">
        <x:f>IF(F1630="","",MIN(F1630,E1630))</x:f>
      </x:c>
      <x:c r="H1630" s="10" t="str">
        <x:f>IF(F1630="","",MAX(0,F1630-E1630))</x:f>
      </x:c>
      <x:c r="I1630" s="24"/>
      <x:c r="J1630" s="7"/>
      <x:c r="K1630" s="8" t="str">
        <x:f>IF(A1630="","",DATE(YEAR(A1630),MONTH(A1630),1))</x:f>
      </x:c>
    </x:row>
    <x:row r="1631">
      <x:c r="A1631" s="9"/>
      <x:c r="B1631" s="7"/>
      <x:c r="C1631" s="7" t="str">
        <x:f>IF(B1631="","",XLOOKUP(B1631,Employees!$A$4:$A$53,Employees!$B$4:$B$53,""))</x:f>
      </x:c>
      <x:c r="D1631" s="7"/>
      <x:c r="E1631" s="10" t="n">
        <x:v>8</x:v>
      </x:c>
      <x:c r="F1631" s="10"/>
      <x:c r="G1631" s="10" t="str">
        <x:f>IF(F1631="","",MIN(F1631,E1631))</x:f>
      </x:c>
      <x:c r="H1631" s="10" t="str">
        <x:f>IF(F1631="","",MAX(0,F1631-E1631))</x:f>
      </x:c>
      <x:c r="I1631" s="24"/>
      <x:c r="J1631" s="7"/>
      <x:c r="K1631" s="8" t="str">
        <x:f>IF(A1631="","",DATE(YEAR(A1631),MONTH(A1631),1))</x:f>
      </x:c>
    </x:row>
    <x:row r="1632">
      <x:c r="A1632" s="9"/>
      <x:c r="B1632" s="7"/>
      <x:c r="C1632" s="7" t="str">
        <x:f>IF(B1632="","",XLOOKUP(B1632,Employees!$A$4:$A$53,Employees!$B$4:$B$53,""))</x:f>
      </x:c>
      <x:c r="D1632" s="7"/>
      <x:c r="E1632" s="10" t="n">
        <x:v>8</x:v>
      </x:c>
      <x:c r="F1632" s="10"/>
      <x:c r="G1632" s="10" t="str">
        <x:f>IF(F1632="","",MIN(F1632,E1632))</x:f>
      </x:c>
      <x:c r="H1632" s="10" t="str">
        <x:f>IF(F1632="","",MAX(0,F1632-E1632))</x:f>
      </x:c>
      <x:c r="I1632" s="24"/>
      <x:c r="J1632" s="7"/>
      <x:c r="K1632" s="8" t="str">
        <x:f>IF(A1632="","",DATE(YEAR(A1632),MONTH(A1632),1))</x:f>
      </x:c>
    </x:row>
    <x:row r="1633">
      <x:c r="A1633" s="9"/>
      <x:c r="B1633" s="7"/>
      <x:c r="C1633" s="7" t="str">
        <x:f>IF(B1633="","",XLOOKUP(B1633,Employees!$A$4:$A$53,Employees!$B$4:$B$53,""))</x:f>
      </x:c>
      <x:c r="D1633" s="7"/>
      <x:c r="E1633" s="10" t="n">
        <x:v>8</x:v>
      </x:c>
      <x:c r="F1633" s="10"/>
      <x:c r="G1633" s="10" t="str">
        <x:f>IF(F1633="","",MIN(F1633,E1633))</x:f>
      </x:c>
      <x:c r="H1633" s="10" t="str">
        <x:f>IF(F1633="","",MAX(0,F1633-E1633))</x:f>
      </x:c>
      <x:c r="I1633" s="24"/>
      <x:c r="J1633" s="7"/>
      <x:c r="K1633" s="8" t="str">
        <x:f>IF(A1633="","",DATE(YEAR(A1633),MONTH(A1633),1))</x:f>
      </x:c>
    </x:row>
    <x:row r="1634">
      <x:c r="A1634" s="9"/>
      <x:c r="B1634" s="7"/>
      <x:c r="C1634" s="7" t="str">
        <x:f>IF(B1634="","",XLOOKUP(B1634,Employees!$A$4:$A$53,Employees!$B$4:$B$53,""))</x:f>
      </x:c>
      <x:c r="D1634" s="7"/>
      <x:c r="E1634" s="10" t="n">
        <x:v>8</x:v>
      </x:c>
      <x:c r="F1634" s="10"/>
      <x:c r="G1634" s="10" t="str">
        <x:f>IF(F1634="","",MIN(F1634,E1634))</x:f>
      </x:c>
      <x:c r="H1634" s="10" t="str">
        <x:f>IF(F1634="","",MAX(0,F1634-E1634))</x:f>
      </x:c>
      <x:c r="I1634" s="24"/>
      <x:c r="J1634" s="7"/>
      <x:c r="K1634" s="8" t="str">
        <x:f>IF(A1634="","",DATE(YEAR(A1634),MONTH(A1634),1))</x:f>
      </x:c>
    </x:row>
    <x:row r="1635">
      <x:c r="A1635" s="9"/>
      <x:c r="B1635" s="7"/>
      <x:c r="C1635" s="7" t="str">
        <x:f>IF(B1635="","",XLOOKUP(B1635,Employees!$A$4:$A$53,Employees!$B$4:$B$53,""))</x:f>
      </x:c>
      <x:c r="D1635" s="7"/>
      <x:c r="E1635" s="10" t="n">
        <x:v>8</x:v>
      </x:c>
      <x:c r="F1635" s="10"/>
      <x:c r="G1635" s="10" t="str">
        <x:f>IF(F1635="","",MIN(F1635,E1635))</x:f>
      </x:c>
      <x:c r="H1635" s="10" t="str">
        <x:f>IF(F1635="","",MAX(0,F1635-E1635))</x:f>
      </x:c>
      <x:c r="I1635" s="24"/>
      <x:c r="J1635" s="7"/>
      <x:c r="K1635" s="8" t="str">
        <x:f>IF(A1635="","",DATE(YEAR(A1635),MONTH(A1635),1))</x:f>
      </x:c>
    </x:row>
    <x:row r="1636">
      <x:c r="A1636" s="9"/>
      <x:c r="B1636" s="7"/>
      <x:c r="C1636" s="7" t="str">
        <x:f>IF(B1636="","",XLOOKUP(B1636,Employees!$A$4:$A$53,Employees!$B$4:$B$53,""))</x:f>
      </x:c>
      <x:c r="D1636" s="7"/>
      <x:c r="E1636" s="10" t="n">
        <x:v>8</x:v>
      </x:c>
      <x:c r="F1636" s="10"/>
      <x:c r="G1636" s="10" t="str">
        <x:f>IF(F1636="","",MIN(F1636,E1636))</x:f>
      </x:c>
      <x:c r="H1636" s="10" t="str">
        <x:f>IF(F1636="","",MAX(0,F1636-E1636))</x:f>
      </x:c>
      <x:c r="I1636" s="24"/>
      <x:c r="J1636" s="7"/>
      <x:c r="K1636" s="8" t="str">
        <x:f>IF(A1636="","",DATE(YEAR(A1636),MONTH(A1636),1))</x:f>
      </x:c>
    </x:row>
    <x:row r="1637">
      <x:c r="A1637" s="9"/>
      <x:c r="B1637" s="7"/>
      <x:c r="C1637" s="7" t="str">
        <x:f>IF(B1637="","",XLOOKUP(B1637,Employees!$A$4:$A$53,Employees!$B$4:$B$53,""))</x:f>
      </x:c>
      <x:c r="D1637" s="7"/>
      <x:c r="E1637" s="10" t="n">
        <x:v>8</x:v>
      </x:c>
      <x:c r="F1637" s="10"/>
      <x:c r="G1637" s="10" t="str">
        <x:f>IF(F1637="","",MIN(F1637,E1637))</x:f>
      </x:c>
      <x:c r="H1637" s="10" t="str">
        <x:f>IF(F1637="","",MAX(0,F1637-E1637))</x:f>
      </x:c>
      <x:c r="I1637" s="24"/>
      <x:c r="J1637" s="7"/>
      <x:c r="K1637" s="8" t="str">
        <x:f>IF(A1637="","",DATE(YEAR(A1637),MONTH(A1637),1))</x:f>
      </x:c>
    </x:row>
    <x:row r="1638">
      <x:c r="A1638" s="9"/>
      <x:c r="B1638" s="7"/>
      <x:c r="C1638" s="7" t="str">
        <x:f>IF(B1638="","",XLOOKUP(B1638,Employees!$A$4:$A$53,Employees!$B$4:$B$53,""))</x:f>
      </x:c>
      <x:c r="D1638" s="7"/>
      <x:c r="E1638" s="10" t="n">
        <x:v>8</x:v>
      </x:c>
      <x:c r="F1638" s="10"/>
      <x:c r="G1638" s="10" t="str">
        <x:f>IF(F1638="","",MIN(F1638,E1638))</x:f>
      </x:c>
      <x:c r="H1638" s="10" t="str">
        <x:f>IF(F1638="","",MAX(0,F1638-E1638))</x:f>
      </x:c>
      <x:c r="I1638" s="24"/>
      <x:c r="J1638" s="7"/>
      <x:c r="K1638" s="8" t="str">
        <x:f>IF(A1638="","",DATE(YEAR(A1638),MONTH(A1638),1))</x:f>
      </x:c>
    </x:row>
    <x:row r="1639">
      <x:c r="A1639" s="9"/>
      <x:c r="B1639" s="7"/>
      <x:c r="C1639" s="7" t="str">
        <x:f>IF(B1639="","",XLOOKUP(B1639,Employees!$A$4:$A$53,Employees!$B$4:$B$53,""))</x:f>
      </x:c>
      <x:c r="D1639" s="7"/>
      <x:c r="E1639" s="10" t="n">
        <x:v>8</x:v>
      </x:c>
      <x:c r="F1639" s="10"/>
      <x:c r="G1639" s="10" t="str">
        <x:f>IF(F1639="","",MIN(F1639,E1639))</x:f>
      </x:c>
      <x:c r="H1639" s="10" t="str">
        <x:f>IF(F1639="","",MAX(0,F1639-E1639))</x:f>
      </x:c>
      <x:c r="I1639" s="24"/>
      <x:c r="J1639" s="7"/>
      <x:c r="K1639" s="8" t="str">
        <x:f>IF(A1639="","",DATE(YEAR(A1639),MONTH(A1639),1))</x:f>
      </x:c>
    </x:row>
    <x:row r="1640">
      <x:c r="A1640" s="9"/>
      <x:c r="B1640" s="7"/>
      <x:c r="C1640" s="7" t="str">
        <x:f>IF(B1640="","",XLOOKUP(B1640,Employees!$A$4:$A$53,Employees!$B$4:$B$53,""))</x:f>
      </x:c>
      <x:c r="D1640" s="7"/>
      <x:c r="E1640" s="10" t="n">
        <x:v>8</x:v>
      </x:c>
      <x:c r="F1640" s="10"/>
      <x:c r="G1640" s="10" t="str">
        <x:f>IF(F1640="","",MIN(F1640,E1640))</x:f>
      </x:c>
      <x:c r="H1640" s="10" t="str">
        <x:f>IF(F1640="","",MAX(0,F1640-E1640))</x:f>
      </x:c>
      <x:c r="I1640" s="24"/>
      <x:c r="J1640" s="7"/>
      <x:c r="K1640" s="8" t="str">
        <x:f>IF(A1640="","",DATE(YEAR(A1640),MONTH(A1640),1))</x:f>
      </x:c>
    </x:row>
    <x:row r="1641">
      <x:c r="A1641" s="9"/>
      <x:c r="B1641" s="7"/>
      <x:c r="C1641" s="7" t="str">
        <x:f>IF(B1641="","",XLOOKUP(B1641,Employees!$A$4:$A$53,Employees!$B$4:$B$53,""))</x:f>
      </x:c>
      <x:c r="D1641" s="7"/>
      <x:c r="E1641" s="10" t="n">
        <x:v>8</x:v>
      </x:c>
      <x:c r="F1641" s="10"/>
      <x:c r="G1641" s="10" t="str">
        <x:f>IF(F1641="","",MIN(F1641,E1641))</x:f>
      </x:c>
      <x:c r="H1641" s="10" t="str">
        <x:f>IF(F1641="","",MAX(0,F1641-E1641))</x:f>
      </x:c>
      <x:c r="I1641" s="24"/>
      <x:c r="J1641" s="7"/>
      <x:c r="K1641" s="8" t="str">
        <x:f>IF(A1641="","",DATE(YEAR(A1641),MONTH(A1641),1))</x:f>
      </x:c>
    </x:row>
    <x:row r="1642">
      <x:c r="A1642" s="9"/>
      <x:c r="B1642" s="7"/>
      <x:c r="C1642" s="7" t="str">
        <x:f>IF(B1642="","",XLOOKUP(B1642,Employees!$A$4:$A$53,Employees!$B$4:$B$53,""))</x:f>
      </x:c>
      <x:c r="D1642" s="7"/>
      <x:c r="E1642" s="10" t="n">
        <x:v>8</x:v>
      </x:c>
      <x:c r="F1642" s="10"/>
      <x:c r="G1642" s="10" t="str">
        <x:f>IF(F1642="","",MIN(F1642,E1642))</x:f>
      </x:c>
      <x:c r="H1642" s="10" t="str">
        <x:f>IF(F1642="","",MAX(0,F1642-E1642))</x:f>
      </x:c>
      <x:c r="I1642" s="24"/>
      <x:c r="J1642" s="7"/>
      <x:c r="K1642" s="8" t="str">
        <x:f>IF(A1642="","",DATE(YEAR(A1642),MONTH(A1642),1))</x:f>
      </x:c>
    </x:row>
    <x:row r="1643">
      <x:c r="A1643" s="9"/>
      <x:c r="B1643" s="7"/>
      <x:c r="C1643" s="7" t="str">
        <x:f>IF(B1643="","",XLOOKUP(B1643,Employees!$A$4:$A$53,Employees!$B$4:$B$53,""))</x:f>
      </x:c>
      <x:c r="D1643" s="7"/>
      <x:c r="E1643" s="10" t="n">
        <x:v>8</x:v>
      </x:c>
      <x:c r="F1643" s="10"/>
      <x:c r="G1643" s="10" t="str">
        <x:f>IF(F1643="","",MIN(F1643,E1643))</x:f>
      </x:c>
      <x:c r="H1643" s="10" t="str">
        <x:f>IF(F1643="","",MAX(0,F1643-E1643))</x:f>
      </x:c>
      <x:c r="I1643" s="24"/>
      <x:c r="J1643" s="7"/>
      <x:c r="K1643" s="8" t="str">
        <x:f>IF(A1643="","",DATE(YEAR(A1643),MONTH(A1643),1))</x:f>
      </x:c>
    </x:row>
    <x:row r="1644">
      <x:c r="A1644" s="9"/>
      <x:c r="B1644" s="7"/>
      <x:c r="C1644" s="7" t="str">
        <x:f>IF(B1644="","",XLOOKUP(B1644,Employees!$A$4:$A$53,Employees!$B$4:$B$53,""))</x:f>
      </x:c>
      <x:c r="D1644" s="7"/>
      <x:c r="E1644" s="10" t="n">
        <x:v>8</x:v>
      </x:c>
      <x:c r="F1644" s="10"/>
      <x:c r="G1644" s="10" t="str">
        <x:f>IF(F1644="","",MIN(F1644,E1644))</x:f>
      </x:c>
      <x:c r="H1644" s="10" t="str">
        <x:f>IF(F1644="","",MAX(0,F1644-E1644))</x:f>
      </x:c>
      <x:c r="I1644" s="24"/>
      <x:c r="J1644" s="7"/>
      <x:c r="K1644" s="8" t="str">
        <x:f>IF(A1644="","",DATE(YEAR(A1644),MONTH(A1644),1))</x:f>
      </x:c>
    </x:row>
    <x:row r="1645">
      <x:c r="A1645" s="9"/>
      <x:c r="B1645" s="7"/>
      <x:c r="C1645" s="7" t="str">
        <x:f>IF(B1645="","",XLOOKUP(B1645,Employees!$A$4:$A$53,Employees!$B$4:$B$53,""))</x:f>
      </x:c>
      <x:c r="D1645" s="7"/>
      <x:c r="E1645" s="10" t="n">
        <x:v>8</x:v>
      </x:c>
      <x:c r="F1645" s="10"/>
      <x:c r="G1645" s="10" t="str">
        <x:f>IF(F1645="","",MIN(F1645,E1645))</x:f>
      </x:c>
      <x:c r="H1645" s="10" t="str">
        <x:f>IF(F1645="","",MAX(0,F1645-E1645))</x:f>
      </x:c>
      <x:c r="I1645" s="24"/>
      <x:c r="J1645" s="7"/>
      <x:c r="K1645" s="8" t="str">
        <x:f>IF(A1645="","",DATE(YEAR(A1645),MONTH(A1645),1))</x:f>
      </x:c>
    </x:row>
    <x:row r="1646">
      <x:c r="A1646" s="9"/>
      <x:c r="B1646" s="7"/>
      <x:c r="C1646" s="7" t="str">
        <x:f>IF(B1646="","",XLOOKUP(B1646,Employees!$A$4:$A$53,Employees!$B$4:$B$53,""))</x:f>
      </x:c>
      <x:c r="D1646" s="7"/>
      <x:c r="E1646" s="10" t="n">
        <x:v>8</x:v>
      </x:c>
      <x:c r="F1646" s="10"/>
      <x:c r="G1646" s="10" t="str">
        <x:f>IF(F1646="","",MIN(F1646,E1646))</x:f>
      </x:c>
      <x:c r="H1646" s="10" t="str">
        <x:f>IF(F1646="","",MAX(0,F1646-E1646))</x:f>
      </x:c>
      <x:c r="I1646" s="24"/>
      <x:c r="J1646" s="7"/>
      <x:c r="K1646" s="8" t="str">
        <x:f>IF(A1646="","",DATE(YEAR(A1646),MONTH(A1646),1))</x:f>
      </x:c>
    </x:row>
    <x:row r="1647">
      <x:c r="A1647" s="9"/>
      <x:c r="B1647" s="7"/>
      <x:c r="C1647" s="7" t="str">
        <x:f>IF(B1647="","",XLOOKUP(B1647,Employees!$A$4:$A$53,Employees!$B$4:$B$53,""))</x:f>
      </x:c>
      <x:c r="D1647" s="7"/>
      <x:c r="E1647" s="10" t="n">
        <x:v>8</x:v>
      </x:c>
      <x:c r="F1647" s="10"/>
      <x:c r="G1647" s="10" t="str">
        <x:f>IF(F1647="","",MIN(F1647,E1647))</x:f>
      </x:c>
      <x:c r="H1647" s="10" t="str">
        <x:f>IF(F1647="","",MAX(0,F1647-E1647))</x:f>
      </x:c>
      <x:c r="I1647" s="24"/>
      <x:c r="J1647" s="7"/>
      <x:c r="K1647" s="8" t="str">
        <x:f>IF(A1647="","",DATE(YEAR(A1647),MONTH(A1647),1))</x:f>
      </x:c>
    </x:row>
    <x:row r="1648">
      <x:c r="A1648" s="9"/>
      <x:c r="B1648" s="7"/>
      <x:c r="C1648" s="7" t="str">
        <x:f>IF(B1648="","",XLOOKUP(B1648,Employees!$A$4:$A$53,Employees!$B$4:$B$53,""))</x:f>
      </x:c>
      <x:c r="D1648" s="7"/>
      <x:c r="E1648" s="10" t="n">
        <x:v>8</x:v>
      </x:c>
      <x:c r="F1648" s="10"/>
      <x:c r="G1648" s="10" t="str">
        <x:f>IF(F1648="","",MIN(F1648,E1648))</x:f>
      </x:c>
      <x:c r="H1648" s="10" t="str">
        <x:f>IF(F1648="","",MAX(0,F1648-E1648))</x:f>
      </x:c>
      <x:c r="I1648" s="24"/>
      <x:c r="J1648" s="7"/>
      <x:c r="K1648" s="8" t="str">
        <x:f>IF(A1648="","",DATE(YEAR(A1648),MONTH(A1648),1))</x:f>
      </x:c>
    </x:row>
    <x:row r="1649">
      <x:c r="A1649" s="9"/>
      <x:c r="B1649" s="7"/>
      <x:c r="C1649" s="7" t="str">
        <x:f>IF(B1649="","",XLOOKUP(B1649,Employees!$A$4:$A$53,Employees!$B$4:$B$53,""))</x:f>
      </x:c>
      <x:c r="D1649" s="7"/>
      <x:c r="E1649" s="10" t="n">
        <x:v>8</x:v>
      </x:c>
      <x:c r="F1649" s="10"/>
      <x:c r="G1649" s="10" t="str">
        <x:f>IF(F1649="","",MIN(F1649,E1649))</x:f>
      </x:c>
      <x:c r="H1649" s="10" t="str">
        <x:f>IF(F1649="","",MAX(0,F1649-E1649))</x:f>
      </x:c>
      <x:c r="I1649" s="24"/>
      <x:c r="J1649" s="7"/>
      <x:c r="K1649" s="8" t="str">
        <x:f>IF(A1649="","",DATE(YEAR(A1649),MONTH(A1649),1))</x:f>
      </x:c>
    </x:row>
    <x:row r="1650">
      <x:c r="A1650" s="9"/>
      <x:c r="B1650" s="7"/>
      <x:c r="C1650" s="7" t="str">
        <x:f>IF(B1650="","",XLOOKUP(B1650,Employees!$A$4:$A$53,Employees!$B$4:$B$53,""))</x:f>
      </x:c>
      <x:c r="D1650" s="7"/>
      <x:c r="E1650" s="10" t="n">
        <x:v>8</x:v>
      </x:c>
      <x:c r="F1650" s="10"/>
      <x:c r="G1650" s="10" t="str">
        <x:f>IF(F1650="","",MIN(F1650,E1650))</x:f>
      </x:c>
      <x:c r="H1650" s="10" t="str">
        <x:f>IF(F1650="","",MAX(0,F1650-E1650))</x:f>
      </x:c>
      <x:c r="I1650" s="24"/>
      <x:c r="J1650" s="7"/>
      <x:c r="K1650" s="8" t="str">
        <x:f>IF(A1650="","",DATE(YEAR(A1650),MONTH(A1650),1))</x:f>
      </x:c>
    </x:row>
    <x:row r="1651">
      <x:c r="A1651" s="9"/>
      <x:c r="B1651" s="7"/>
      <x:c r="C1651" s="7" t="str">
        <x:f>IF(B1651="","",XLOOKUP(B1651,Employees!$A$4:$A$53,Employees!$B$4:$B$53,""))</x:f>
      </x:c>
      <x:c r="D1651" s="7"/>
      <x:c r="E1651" s="10" t="n">
        <x:v>8</x:v>
      </x:c>
      <x:c r="F1651" s="10"/>
      <x:c r="G1651" s="10" t="str">
        <x:f>IF(F1651="","",MIN(F1651,E1651))</x:f>
      </x:c>
      <x:c r="H1651" s="10" t="str">
        <x:f>IF(F1651="","",MAX(0,F1651-E1651))</x:f>
      </x:c>
      <x:c r="I1651" s="24"/>
      <x:c r="J1651" s="7"/>
      <x:c r="K1651" s="8" t="str">
        <x:f>IF(A1651="","",DATE(YEAR(A1651),MONTH(A1651),1))</x:f>
      </x:c>
    </x:row>
    <x:row r="1652">
      <x:c r="A1652" s="9"/>
      <x:c r="B1652" s="7"/>
      <x:c r="C1652" s="7" t="str">
        <x:f>IF(B1652="","",XLOOKUP(B1652,Employees!$A$4:$A$53,Employees!$B$4:$B$53,""))</x:f>
      </x:c>
      <x:c r="D1652" s="7"/>
      <x:c r="E1652" s="10" t="n">
        <x:v>8</x:v>
      </x:c>
      <x:c r="F1652" s="10"/>
      <x:c r="G1652" s="10" t="str">
        <x:f>IF(F1652="","",MIN(F1652,E1652))</x:f>
      </x:c>
      <x:c r="H1652" s="10" t="str">
        <x:f>IF(F1652="","",MAX(0,F1652-E1652))</x:f>
      </x:c>
      <x:c r="I1652" s="24"/>
      <x:c r="J1652" s="7"/>
      <x:c r="K1652" s="8" t="str">
        <x:f>IF(A1652="","",DATE(YEAR(A1652),MONTH(A1652),1))</x:f>
      </x:c>
    </x:row>
    <x:row r="1653">
      <x:c r="A1653" s="9"/>
      <x:c r="B1653" s="7"/>
      <x:c r="C1653" s="7" t="str">
        <x:f>IF(B1653="","",XLOOKUP(B1653,Employees!$A$4:$A$53,Employees!$B$4:$B$53,""))</x:f>
      </x:c>
      <x:c r="D1653" s="7"/>
      <x:c r="E1653" s="10" t="n">
        <x:v>8</x:v>
      </x:c>
      <x:c r="F1653" s="10"/>
      <x:c r="G1653" s="10" t="str">
        <x:f>IF(F1653="","",MIN(F1653,E1653))</x:f>
      </x:c>
      <x:c r="H1653" s="10" t="str">
        <x:f>IF(F1653="","",MAX(0,F1653-E1653))</x:f>
      </x:c>
      <x:c r="I1653" s="24"/>
      <x:c r="J1653" s="7"/>
      <x:c r="K1653" s="8" t="str">
        <x:f>IF(A1653="","",DATE(YEAR(A1653),MONTH(A1653),1))</x:f>
      </x:c>
    </x:row>
    <x:row r="1654">
      <x:c r="A1654" s="9"/>
      <x:c r="B1654" s="7"/>
      <x:c r="C1654" s="7" t="str">
        <x:f>IF(B1654="","",XLOOKUP(B1654,Employees!$A$4:$A$53,Employees!$B$4:$B$53,""))</x:f>
      </x:c>
      <x:c r="D1654" s="7"/>
      <x:c r="E1654" s="10" t="n">
        <x:v>8</x:v>
      </x:c>
      <x:c r="F1654" s="10"/>
      <x:c r="G1654" s="10" t="str">
        <x:f>IF(F1654="","",MIN(F1654,E1654))</x:f>
      </x:c>
      <x:c r="H1654" s="10" t="str">
        <x:f>IF(F1654="","",MAX(0,F1654-E1654))</x:f>
      </x:c>
      <x:c r="I1654" s="24"/>
      <x:c r="J1654" s="7"/>
      <x:c r="K1654" s="8" t="str">
        <x:f>IF(A1654="","",DATE(YEAR(A1654),MONTH(A1654),1))</x:f>
      </x:c>
    </x:row>
    <x:row r="1655">
      <x:c r="A1655" s="9"/>
      <x:c r="B1655" s="7"/>
      <x:c r="C1655" s="7" t="str">
        <x:f>IF(B1655="","",XLOOKUP(B1655,Employees!$A$4:$A$53,Employees!$B$4:$B$53,""))</x:f>
      </x:c>
      <x:c r="D1655" s="7"/>
      <x:c r="E1655" s="10" t="n">
        <x:v>8</x:v>
      </x:c>
      <x:c r="F1655" s="10"/>
      <x:c r="G1655" s="10" t="str">
        <x:f>IF(F1655="","",MIN(F1655,E1655))</x:f>
      </x:c>
      <x:c r="H1655" s="10" t="str">
        <x:f>IF(F1655="","",MAX(0,F1655-E1655))</x:f>
      </x:c>
      <x:c r="I1655" s="24"/>
      <x:c r="J1655" s="7"/>
      <x:c r="K1655" s="8" t="str">
        <x:f>IF(A1655="","",DATE(YEAR(A1655),MONTH(A1655),1))</x:f>
      </x:c>
    </x:row>
    <x:row r="1656">
      <x:c r="A1656" s="9"/>
      <x:c r="B1656" s="7"/>
      <x:c r="C1656" s="7" t="str">
        <x:f>IF(B1656="","",XLOOKUP(B1656,Employees!$A$4:$A$53,Employees!$B$4:$B$53,""))</x:f>
      </x:c>
      <x:c r="D1656" s="7"/>
      <x:c r="E1656" s="10" t="n">
        <x:v>8</x:v>
      </x:c>
      <x:c r="F1656" s="10"/>
      <x:c r="G1656" s="10" t="str">
        <x:f>IF(F1656="","",MIN(F1656,E1656))</x:f>
      </x:c>
      <x:c r="H1656" s="10" t="str">
        <x:f>IF(F1656="","",MAX(0,F1656-E1656))</x:f>
      </x:c>
      <x:c r="I1656" s="24"/>
      <x:c r="J1656" s="7"/>
      <x:c r="K1656" s="8" t="str">
        <x:f>IF(A1656="","",DATE(YEAR(A1656),MONTH(A1656),1))</x:f>
      </x:c>
    </x:row>
    <x:row r="1657">
      <x:c r="A1657" s="9"/>
      <x:c r="B1657" s="7"/>
      <x:c r="C1657" s="7" t="str">
        <x:f>IF(B1657="","",XLOOKUP(B1657,Employees!$A$4:$A$53,Employees!$B$4:$B$53,""))</x:f>
      </x:c>
      <x:c r="D1657" s="7"/>
      <x:c r="E1657" s="10" t="n">
        <x:v>8</x:v>
      </x:c>
      <x:c r="F1657" s="10"/>
      <x:c r="G1657" s="10" t="str">
        <x:f>IF(F1657="","",MIN(F1657,E1657))</x:f>
      </x:c>
      <x:c r="H1657" s="10" t="str">
        <x:f>IF(F1657="","",MAX(0,F1657-E1657))</x:f>
      </x:c>
      <x:c r="I1657" s="24"/>
      <x:c r="J1657" s="7"/>
      <x:c r="K1657" s="8" t="str">
        <x:f>IF(A1657="","",DATE(YEAR(A1657),MONTH(A1657),1))</x:f>
      </x:c>
    </x:row>
    <x:row r="1658">
      <x:c r="A1658" s="9"/>
      <x:c r="B1658" s="7"/>
      <x:c r="C1658" s="7" t="str">
        <x:f>IF(B1658="","",XLOOKUP(B1658,Employees!$A$4:$A$53,Employees!$B$4:$B$53,""))</x:f>
      </x:c>
      <x:c r="D1658" s="7"/>
      <x:c r="E1658" s="10" t="n">
        <x:v>8</x:v>
      </x:c>
      <x:c r="F1658" s="10"/>
      <x:c r="G1658" s="10" t="str">
        <x:f>IF(F1658="","",MIN(F1658,E1658))</x:f>
      </x:c>
      <x:c r="H1658" s="10" t="str">
        <x:f>IF(F1658="","",MAX(0,F1658-E1658))</x:f>
      </x:c>
      <x:c r="I1658" s="24"/>
      <x:c r="J1658" s="7"/>
      <x:c r="K1658" s="8" t="str">
        <x:f>IF(A1658="","",DATE(YEAR(A1658),MONTH(A1658),1))</x:f>
      </x:c>
    </x:row>
    <x:row r="1659">
      <x:c r="A1659" s="9"/>
      <x:c r="B1659" s="7"/>
      <x:c r="C1659" s="7" t="str">
        <x:f>IF(B1659="","",XLOOKUP(B1659,Employees!$A$4:$A$53,Employees!$B$4:$B$53,""))</x:f>
      </x:c>
      <x:c r="D1659" s="7"/>
      <x:c r="E1659" s="10" t="n">
        <x:v>8</x:v>
      </x:c>
      <x:c r="F1659" s="10"/>
      <x:c r="G1659" s="10" t="str">
        <x:f>IF(F1659="","",MIN(F1659,E1659))</x:f>
      </x:c>
      <x:c r="H1659" s="10" t="str">
        <x:f>IF(F1659="","",MAX(0,F1659-E1659))</x:f>
      </x:c>
      <x:c r="I1659" s="24"/>
      <x:c r="J1659" s="7"/>
      <x:c r="K1659" s="8" t="str">
        <x:f>IF(A1659="","",DATE(YEAR(A1659),MONTH(A1659),1))</x:f>
      </x:c>
    </x:row>
    <x:row r="1660">
      <x:c r="A1660" s="9"/>
      <x:c r="B1660" s="7"/>
      <x:c r="C1660" s="7" t="str">
        <x:f>IF(B1660="","",XLOOKUP(B1660,Employees!$A$4:$A$53,Employees!$B$4:$B$53,""))</x:f>
      </x:c>
      <x:c r="D1660" s="7"/>
      <x:c r="E1660" s="10" t="n">
        <x:v>8</x:v>
      </x:c>
      <x:c r="F1660" s="10"/>
      <x:c r="G1660" s="10" t="str">
        <x:f>IF(F1660="","",MIN(F1660,E1660))</x:f>
      </x:c>
      <x:c r="H1660" s="10" t="str">
        <x:f>IF(F1660="","",MAX(0,F1660-E1660))</x:f>
      </x:c>
      <x:c r="I1660" s="24"/>
      <x:c r="J1660" s="7"/>
      <x:c r="K1660" s="8" t="str">
        <x:f>IF(A1660="","",DATE(YEAR(A1660),MONTH(A1660),1))</x:f>
      </x:c>
    </x:row>
    <x:row r="1661">
      <x:c r="A1661" s="9"/>
      <x:c r="B1661" s="7"/>
      <x:c r="C1661" s="7" t="str">
        <x:f>IF(B1661="","",XLOOKUP(B1661,Employees!$A$4:$A$53,Employees!$B$4:$B$53,""))</x:f>
      </x:c>
      <x:c r="D1661" s="7"/>
      <x:c r="E1661" s="10" t="n">
        <x:v>8</x:v>
      </x:c>
      <x:c r="F1661" s="10"/>
      <x:c r="G1661" s="10" t="str">
        <x:f>IF(F1661="","",MIN(F1661,E1661))</x:f>
      </x:c>
      <x:c r="H1661" s="10" t="str">
        <x:f>IF(F1661="","",MAX(0,F1661-E1661))</x:f>
      </x:c>
      <x:c r="I1661" s="24"/>
      <x:c r="J1661" s="7"/>
      <x:c r="K1661" s="8" t="str">
        <x:f>IF(A1661="","",DATE(YEAR(A1661),MONTH(A1661),1))</x:f>
      </x:c>
    </x:row>
    <x:row r="1662">
      <x:c r="A1662" s="9"/>
      <x:c r="B1662" s="7"/>
      <x:c r="C1662" s="7" t="str">
        <x:f>IF(B1662="","",XLOOKUP(B1662,Employees!$A$4:$A$53,Employees!$B$4:$B$53,""))</x:f>
      </x:c>
      <x:c r="D1662" s="7"/>
      <x:c r="E1662" s="10" t="n">
        <x:v>8</x:v>
      </x:c>
      <x:c r="F1662" s="10"/>
      <x:c r="G1662" s="10" t="str">
        <x:f>IF(F1662="","",MIN(F1662,E1662))</x:f>
      </x:c>
      <x:c r="H1662" s="10" t="str">
        <x:f>IF(F1662="","",MAX(0,F1662-E1662))</x:f>
      </x:c>
      <x:c r="I1662" s="24"/>
      <x:c r="J1662" s="7"/>
      <x:c r="K1662" s="8" t="str">
        <x:f>IF(A1662="","",DATE(YEAR(A1662),MONTH(A1662),1))</x:f>
      </x:c>
    </x:row>
    <x:row r="1663">
      <x:c r="A1663" s="9"/>
      <x:c r="B1663" s="7"/>
      <x:c r="C1663" s="7" t="str">
        <x:f>IF(B1663="","",XLOOKUP(B1663,Employees!$A$4:$A$53,Employees!$B$4:$B$53,""))</x:f>
      </x:c>
      <x:c r="D1663" s="7"/>
      <x:c r="E1663" s="10" t="n">
        <x:v>8</x:v>
      </x:c>
      <x:c r="F1663" s="10"/>
      <x:c r="G1663" s="10" t="str">
        <x:f>IF(F1663="","",MIN(F1663,E1663))</x:f>
      </x:c>
      <x:c r="H1663" s="10" t="str">
        <x:f>IF(F1663="","",MAX(0,F1663-E1663))</x:f>
      </x:c>
      <x:c r="I1663" s="24"/>
      <x:c r="J1663" s="7"/>
      <x:c r="K1663" s="8" t="str">
        <x:f>IF(A1663="","",DATE(YEAR(A1663),MONTH(A1663),1))</x:f>
      </x:c>
    </x:row>
    <x:row r="1664">
      <x:c r="A1664" s="9"/>
      <x:c r="B1664" s="7"/>
      <x:c r="C1664" s="7" t="str">
        <x:f>IF(B1664="","",XLOOKUP(B1664,Employees!$A$4:$A$53,Employees!$B$4:$B$53,""))</x:f>
      </x:c>
      <x:c r="D1664" s="7"/>
      <x:c r="E1664" s="10" t="n">
        <x:v>8</x:v>
      </x:c>
      <x:c r="F1664" s="10"/>
      <x:c r="G1664" s="10" t="str">
        <x:f>IF(F1664="","",MIN(F1664,E1664))</x:f>
      </x:c>
      <x:c r="H1664" s="10" t="str">
        <x:f>IF(F1664="","",MAX(0,F1664-E1664))</x:f>
      </x:c>
      <x:c r="I1664" s="24"/>
      <x:c r="J1664" s="7"/>
      <x:c r="K1664" s="8" t="str">
        <x:f>IF(A1664="","",DATE(YEAR(A1664),MONTH(A1664),1))</x:f>
      </x:c>
    </x:row>
    <x:row r="1665">
      <x:c r="A1665" s="9"/>
      <x:c r="B1665" s="7"/>
      <x:c r="C1665" s="7" t="str">
        <x:f>IF(B1665="","",XLOOKUP(B1665,Employees!$A$4:$A$53,Employees!$B$4:$B$53,""))</x:f>
      </x:c>
      <x:c r="D1665" s="7"/>
      <x:c r="E1665" s="10" t="n">
        <x:v>8</x:v>
      </x:c>
      <x:c r="F1665" s="10"/>
      <x:c r="G1665" s="10" t="str">
        <x:f>IF(F1665="","",MIN(F1665,E1665))</x:f>
      </x:c>
      <x:c r="H1665" s="10" t="str">
        <x:f>IF(F1665="","",MAX(0,F1665-E1665))</x:f>
      </x:c>
      <x:c r="I1665" s="24"/>
      <x:c r="J1665" s="7"/>
      <x:c r="K1665" s="8" t="str">
        <x:f>IF(A1665="","",DATE(YEAR(A1665),MONTH(A1665),1))</x:f>
      </x:c>
    </x:row>
    <x:row r="1666">
      <x:c r="A1666" s="9"/>
      <x:c r="B1666" s="7"/>
      <x:c r="C1666" s="7" t="str">
        <x:f>IF(B1666="","",XLOOKUP(B1666,Employees!$A$4:$A$53,Employees!$B$4:$B$53,""))</x:f>
      </x:c>
      <x:c r="D1666" s="7"/>
      <x:c r="E1666" s="10" t="n">
        <x:v>8</x:v>
      </x:c>
      <x:c r="F1666" s="10"/>
      <x:c r="G1666" s="10" t="str">
        <x:f>IF(F1666="","",MIN(F1666,E1666))</x:f>
      </x:c>
      <x:c r="H1666" s="10" t="str">
        <x:f>IF(F1666="","",MAX(0,F1666-E1666))</x:f>
      </x:c>
      <x:c r="I1666" s="24"/>
      <x:c r="J1666" s="7"/>
      <x:c r="K1666" s="8" t="str">
        <x:f>IF(A1666="","",DATE(YEAR(A1666),MONTH(A1666),1))</x:f>
      </x:c>
    </x:row>
    <x:row r="1667">
      <x:c r="A1667" s="9"/>
      <x:c r="B1667" s="7"/>
      <x:c r="C1667" s="7" t="str">
        <x:f>IF(B1667="","",XLOOKUP(B1667,Employees!$A$4:$A$53,Employees!$B$4:$B$53,""))</x:f>
      </x:c>
      <x:c r="D1667" s="7"/>
      <x:c r="E1667" s="10" t="n">
        <x:v>8</x:v>
      </x:c>
      <x:c r="F1667" s="10"/>
      <x:c r="G1667" s="10" t="str">
        <x:f>IF(F1667="","",MIN(F1667,E1667))</x:f>
      </x:c>
      <x:c r="H1667" s="10" t="str">
        <x:f>IF(F1667="","",MAX(0,F1667-E1667))</x:f>
      </x:c>
      <x:c r="I1667" s="24"/>
      <x:c r="J1667" s="7"/>
      <x:c r="K1667" s="8" t="str">
        <x:f>IF(A1667="","",DATE(YEAR(A1667),MONTH(A1667),1))</x:f>
      </x:c>
    </x:row>
    <x:row r="1668">
      <x:c r="A1668" s="9"/>
      <x:c r="B1668" s="7"/>
      <x:c r="C1668" s="7" t="str">
        <x:f>IF(B1668="","",XLOOKUP(B1668,Employees!$A$4:$A$53,Employees!$B$4:$B$53,""))</x:f>
      </x:c>
      <x:c r="D1668" s="7"/>
      <x:c r="E1668" s="10" t="n">
        <x:v>8</x:v>
      </x:c>
      <x:c r="F1668" s="10"/>
      <x:c r="G1668" s="10" t="str">
        <x:f>IF(F1668="","",MIN(F1668,E1668))</x:f>
      </x:c>
      <x:c r="H1668" s="10" t="str">
        <x:f>IF(F1668="","",MAX(0,F1668-E1668))</x:f>
      </x:c>
      <x:c r="I1668" s="24"/>
      <x:c r="J1668" s="7"/>
      <x:c r="K1668" s="8" t="str">
        <x:f>IF(A1668="","",DATE(YEAR(A1668),MONTH(A1668),1))</x:f>
      </x:c>
    </x:row>
    <x:row r="1669">
      <x:c r="A1669" s="9"/>
      <x:c r="B1669" s="7"/>
      <x:c r="C1669" s="7" t="str">
        <x:f>IF(B1669="","",XLOOKUP(B1669,Employees!$A$4:$A$53,Employees!$B$4:$B$53,""))</x:f>
      </x:c>
      <x:c r="D1669" s="7"/>
      <x:c r="E1669" s="10" t="n">
        <x:v>8</x:v>
      </x:c>
      <x:c r="F1669" s="10"/>
      <x:c r="G1669" s="10" t="str">
        <x:f>IF(F1669="","",MIN(F1669,E1669))</x:f>
      </x:c>
      <x:c r="H1669" s="10" t="str">
        <x:f>IF(F1669="","",MAX(0,F1669-E1669))</x:f>
      </x:c>
      <x:c r="I1669" s="24"/>
      <x:c r="J1669" s="7"/>
      <x:c r="K1669" s="8" t="str">
        <x:f>IF(A1669="","",DATE(YEAR(A1669),MONTH(A1669),1))</x:f>
      </x:c>
    </x:row>
    <x:row r="1670">
      <x:c r="A1670" s="9"/>
      <x:c r="B1670" s="7"/>
      <x:c r="C1670" s="7" t="str">
        <x:f>IF(B1670="","",XLOOKUP(B1670,Employees!$A$4:$A$53,Employees!$B$4:$B$53,""))</x:f>
      </x:c>
      <x:c r="D1670" s="7"/>
      <x:c r="E1670" s="10" t="n">
        <x:v>8</x:v>
      </x:c>
      <x:c r="F1670" s="10"/>
      <x:c r="G1670" s="10" t="str">
        <x:f>IF(F1670="","",MIN(F1670,E1670))</x:f>
      </x:c>
      <x:c r="H1670" s="10" t="str">
        <x:f>IF(F1670="","",MAX(0,F1670-E1670))</x:f>
      </x:c>
      <x:c r="I1670" s="24"/>
      <x:c r="J1670" s="7"/>
      <x:c r="K1670" s="8" t="str">
        <x:f>IF(A1670="","",DATE(YEAR(A1670),MONTH(A1670),1))</x:f>
      </x:c>
    </x:row>
    <x:row r="1671">
      <x:c r="A1671" s="9"/>
      <x:c r="B1671" s="7"/>
      <x:c r="C1671" s="7" t="str">
        <x:f>IF(B1671="","",XLOOKUP(B1671,Employees!$A$4:$A$53,Employees!$B$4:$B$53,""))</x:f>
      </x:c>
      <x:c r="D1671" s="7"/>
      <x:c r="E1671" s="10" t="n">
        <x:v>8</x:v>
      </x:c>
      <x:c r="F1671" s="10"/>
      <x:c r="G1671" s="10" t="str">
        <x:f>IF(F1671="","",MIN(F1671,E1671))</x:f>
      </x:c>
      <x:c r="H1671" s="10" t="str">
        <x:f>IF(F1671="","",MAX(0,F1671-E1671))</x:f>
      </x:c>
      <x:c r="I1671" s="24"/>
      <x:c r="J1671" s="7"/>
      <x:c r="K1671" s="8" t="str">
        <x:f>IF(A1671="","",DATE(YEAR(A1671),MONTH(A1671),1))</x:f>
      </x:c>
    </x:row>
    <x:row r="1672">
      <x:c r="A1672" s="9"/>
      <x:c r="B1672" s="7"/>
      <x:c r="C1672" s="7" t="str">
        <x:f>IF(B1672="","",XLOOKUP(B1672,Employees!$A$4:$A$53,Employees!$B$4:$B$53,""))</x:f>
      </x:c>
      <x:c r="D1672" s="7"/>
      <x:c r="E1672" s="10" t="n">
        <x:v>8</x:v>
      </x:c>
      <x:c r="F1672" s="10"/>
      <x:c r="G1672" s="10" t="str">
        <x:f>IF(F1672="","",MIN(F1672,E1672))</x:f>
      </x:c>
      <x:c r="H1672" s="10" t="str">
        <x:f>IF(F1672="","",MAX(0,F1672-E1672))</x:f>
      </x:c>
      <x:c r="I1672" s="24"/>
      <x:c r="J1672" s="7"/>
      <x:c r="K1672" s="8" t="str">
        <x:f>IF(A1672="","",DATE(YEAR(A1672),MONTH(A1672),1))</x:f>
      </x:c>
    </x:row>
    <x:row r="1673">
      <x:c r="A1673" s="9"/>
      <x:c r="B1673" s="7"/>
      <x:c r="C1673" s="7" t="str">
        <x:f>IF(B1673="","",XLOOKUP(B1673,Employees!$A$4:$A$53,Employees!$B$4:$B$53,""))</x:f>
      </x:c>
      <x:c r="D1673" s="7"/>
      <x:c r="E1673" s="10" t="n">
        <x:v>8</x:v>
      </x:c>
      <x:c r="F1673" s="10"/>
      <x:c r="G1673" s="10" t="str">
        <x:f>IF(F1673="","",MIN(F1673,E1673))</x:f>
      </x:c>
      <x:c r="H1673" s="10" t="str">
        <x:f>IF(F1673="","",MAX(0,F1673-E1673))</x:f>
      </x:c>
      <x:c r="I1673" s="24"/>
      <x:c r="J1673" s="7"/>
      <x:c r="K1673" s="8" t="str">
        <x:f>IF(A1673="","",DATE(YEAR(A1673),MONTH(A1673),1))</x:f>
      </x:c>
    </x:row>
    <x:row r="1674">
      <x:c r="A1674" s="9"/>
      <x:c r="B1674" s="7"/>
      <x:c r="C1674" s="7" t="str">
        <x:f>IF(B1674="","",XLOOKUP(B1674,Employees!$A$4:$A$53,Employees!$B$4:$B$53,""))</x:f>
      </x:c>
      <x:c r="D1674" s="7"/>
      <x:c r="E1674" s="10" t="n">
        <x:v>8</x:v>
      </x:c>
      <x:c r="F1674" s="10"/>
      <x:c r="G1674" s="10" t="str">
        <x:f>IF(F1674="","",MIN(F1674,E1674))</x:f>
      </x:c>
      <x:c r="H1674" s="10" t="str">
        <x:f>IF(F1674="","",MAX(0,F1674-E1674))</x:f>
      </x:c>
      <x:c r="I1674" s="24"/>
      <x:c r="J1674" s="7"/>
      <x:c r="K1674" s="8" t="str">
        <x:f>IF(A1674="","",DATE(YEAR(A1674),MONTH(A1674),1))</x:f>
      </x:c>
    </x:row>
    <x:row r="1675">
      <x:c r="A1675" s="9"/>
      <x:c r="B1675" s="7"/>
      <x:c r="C1675" s="7" t="str">
        <x:f>IF(B1675="","",XLOOKUP(B1675,Employees!$A$4:$A$53,Employees!$B$4:$B$53,""))</x:f>
      </x:c>
      <x:c r="D1675" s="7"/>
      <x:c r="E1675" s="10" t="n">
        <x:v>8</x:v>
      </x:c>
      <x:c r="F1675" s="10"/>
      <x:c r="G1675" s="10" t="str">
        <x:f>IF(F1675="","",MIN(F1675,E1675))</x:f>
      </x:c>
      <x:c r="H1675" s="10" t="str">
        <x:f>IF(F1675="","",MAX(0,F1675-E1675))</x:f>
      </x:c>
      <x:c r="I1675" s="24"/>
      <x:c r="J1675" s="7"/>
      <x:c r="K1675" s="8" t="str">
        <x:f>IF(A1675="","",DATE(YEAR(A1675),MONTH(A1675),1))</x:f>
      </x:c>
    </x:row>
    <x:row r="1676">
      <x:c r="A1676" s="9"/>
      <x:c r="B1676" s="7"/>
      <x:c r="C1676" s="7" t="str">
        <x:f>IF(B1676="","",XLOOKUP(B1676,Employees!$A$4:$A$53,Employees!$B$4:$B$53,""))</x:f>
      </x:c>
      <x:c r="D1676" s="7"/>
      <x:c r="E1676" s="10" t="n">
        <x:v>8</x:v>
      </x:c>
      <x:c r="F1676" s="10"/>
      <x:c r="G1676" s="10" t="str">
        <x:f>IF(F1676="","",MIN(F1676,E1676))</x:f>
      </x:c>
      <x:c r="H1676" s="10" t="str">
        <x:f>IF(F1676="","",MAX(0,F1676-E1676))</x:f>
      </x:c>
      <x:c r="I1676" s="24"/>
      <x:c r="J1676" s="7"/>
      <x:c r="K1676" s="8" t="str">
        <x:f>IF(A1676="","",DATE(YEAR(A1676),MONTH(A1676),1))</x:f>
      </x:c>
    </x:row>
    <x:row r="1677">
      <x:c r="A1677" s="9"/>
      <x:c r="B1677" s="7"/>
      <x:c r="C1677" s="7" t="str">
        <x:f>IF(B1677="","",XLOOKUP(B1677,Employees!$A$4:$A$53,Employees!$B$4:$B$53,""))</x:f>
      </x:c>
      <x:c r="D1677" s="7"/>
      <x:c r="E1677" s="10" t="n">
        <x:v>8</x:v>
      </x:c>
      <x:c r="F1677" s="10"/>
      <x:c r="G1677" s="10" t="str">
        <x:f>IF(F1677="","",MIN(F1677,E1677))</x:f>
      </x:c>
      <x:c r="H1677" s="10" t="str">
        <x:f>IF(F1677="","",MAX(0,F1677-E1677))</x:f>
      </x:c>
      <x:c r="I1677" s="24"/>
      <x:c r="J1677" s="7"/>
      <x:c r="K1677" s="8" t="str">
        <x:f>IF(A1677="","",DATE(YEAR(A1677),MONTH(A1677),1))</x:f>
      </x:c>
    </x:row>
    <x:row r="1678">
      <x:c r="A1678" s="9"/>
      <x:c r="B1678" s="7"/>
      <x:c r="C1678" s="7" t="str">
        <x:f>IF(B1678="","",XLOOKUP(B1678,Employees!$A$4:$A$53,Employees!$B$4:$B$53,""))</x:f>
      </x:c>
      <x:c r="D1678" s="7"/>
      <x:c r="E1678" s="10" t="n">
        <x:v>8</x:v>
      </x:c>
      <x:c r="F1678" s="10"/>
      <x:c r="G1678" s="10" t="str">
        <x:f>IF(F1678="","",MIN(F1678,E1678))</x:f>
      </x:c>
      <x:c r="H1678" s="10" t="str">
        <x:f>IF(F1678="","",MAX(0,F1678-E1678))</x:f>
      </x:c>
      <x:c r="I1678" s="24"/>
      <x:c r="J1678" s="7"/>
      <x:c r="K1678" s="8" t="str">
        <x:f>IF(A1678="","",DATE(YEAR(A1678),MONTH(A1678),1))</x:f>
      </x:c>
    </x:row>
    <x:row r="1679">
      <x:c r="A1679" s="9"/>
      <x:c r="B1679" s="7"/>
      <x:c r="C1679" s="7" t="str">
        <x:f>IF(B1679="","",XLOOKUP(B1679,Employees!$A$4:$A$53,Employees!$B$4:$B$53,""))</x:f>
      </x:c>
      <x:c r="D1679" s="7"/>
      <x:c r="E1679" s="10" t="n">
        <x:v>8</x:v>
      </x:c>
      <x:c r="F1679" s="10"/>
      <x:c r="G1679" s="10" t="str">
        <x:f>IF(F1679="","",MIN(F1679,E1679))</x:f>
      </x:c>
      <x:c r="H1679" s="10" t="str">
        <x:f>IF(F1679="","",MAX(0,F1679-E1679))</x:f>
      </x:c>
      <x:c r="I1679" s="24"/>
      <x:c r="J1679" s="7"/>
      <x:c r="K1679" s="8" t="str">
        <x:f>IF(A1679="","",DATE(YEAR(A1679),MONTH(A1679),1))</x:f>
      </x:c>
    </x:row>
    <x:row r="1680">
      <x:c r="A1680" s="9"/>
      <x:c r="B1680" s="7"/>
      <x:c r="C1680" s="7" t="str">
        <x:f>IF(B1680="","",XLOOKUP(B1680,Employees!$A$4:$A$53,Employees!$B$4:$B$53,""))</x:f>
      </x:c>
      <x:c r="D1680" s="7"/>
      <x:c r="E1680" s="10" t="n">
        <x:v>8</x:v>
      </x:c>
      <x:c r="F1680" s="10"/>
      <x:c r="G1680" s="10" t="str">
        <x:f>IF(F1680="","",MIN(F1680,E1680))</x:f>
      </x:c>
      <x:c r="H1680" s="10" t="str">
        <x:f>IF(F1680="","",MAX(0,F1680-E1680))</x:f>
      </x:c>
      <x:c r="I1680" s="24"/>
      <x:c r="J1680" s="7"/>
      <x:c r="K1680" s="8" t="str">
        <x:f>IF(A1680="","",DATE(YEAR(A1680),MONTH(A1680),1))</x:f>
      </x:c>
    </x:row>
    <x:row r="1681">
      <x:c r="A1681" s="9"/>
      <x:c r="B1681" s="7"/>
      <x:c r="C1681" s="7" t="str">
        <x:f>IF(B1681="","",XLOOKUP(B1681,Employees!$A$4:$A$53,Employees!$B$4:$B$53,""))</x:f>
      </x:c>
      <x:c r="D1681" s="7"/>
      <x:c r="E1681" s="10" t="n">
        <x:v>8</x:v>
      </x:c>
      <x:c r="F1681" s="10"/>
      <x:c r="G1681" s="10" t="str">
        <x:f>IF(F1681="","",MIN(F1681,E1681))</x:f>
      </x:c>
      <x:c r="H1681" s="10" t="str">
        <x:f>IF(F1681="","",MAX(0,F1681-E1681))</x:f>
      </x:c>
      <x:c r="I1681" s="24"/>
      <x:c r="J1681" s="7"/>
      <x:c r="K1681" s="8" t="str">
        <x:f>IF(A1681="","",DATE(YEAR(A1681),MONTH(A1681),1))</x:f>
      </x:c>
    </x:row>
    <x:row r="1682">
      <x:c r="A1682" s="9"/>
      <x:c r="B1682" s="7"/>
      <x:c r="C1682" s="7" t="str">
        <x:f>IF(B1682="","",XLOOKUP(B1682,Employees!$A$4:$A$53,Employees!$B$4:$B$53,""))</x:f>
      </x:c>
      <x:c r="D1682" s="7"/>
      <x:c r="E1682" s="10" t="n">
        <x:v>8</x:v>
      </x:c>
      <x:c r="F1682" s="10"/>
      <x:c r="G1682" s="10" t="str">
        <x:f>IF(F1682="","",MIN(F1682,E1682))</x:f>
      </x:c>
      <x:c r="H1682" s="10" t="str">
        <x:f>IF(F1682="","",MAX(0,F1682-E1682))</x:f>
      </x:c>
      <x:c r="I1682" s="24"/>
      <x:c r="J1682" s="7"/>
      <x:c r="K1682" s="8" t="str">
        <x:f>IF(A1682="","",DATE(YEAR(A1682),MONTH(A1682),1))</x:f>
      </x:c>
    </x:row>
    <x:row r="1683">
      <x:c r="A1683" s="9"/>
      <x:c r="B1683" s="7"/>
      <x:c r="C1683" s="7" t="str">
        <x:f>IF(B1683="","",XLOOKUP(B1683,Employees!$A$4:$A$53,Employees!$B$4:$B$53,""))</x:f>
      </x:c>
      <x:c r="D1683" s="7"/>
      <x:c r="E1683" s="10" t="n">
        <x:v>8</x:v>
      </x:c>
      <x:c r="F1683" s="10"/>
      <x:c r="G1683" s="10" t="str">
        <x:f>IF(F1683="","",MIN(F1683,E1683))</x:f>
      </x:c>
      <x:c r="H1683" s="10" t="str">
        <x:f>IF(F1683="","",MAX(0,F1683-E1683))</x:f>
      </x:c>
      <x:c r="I1683" s="24"/>
      <x:c r="J1683" s="7"/>
      <x:c r="K1683" s="8" t="str">
        <x:f>IF(A1683="","",DATE(YEAR(A1683),MONTH(A1683),1))</x:f>
      </x:c>
    </x:row>
    <x:row r="1684">
      <x:c r="A1684" s="9"/>
      <x:c r="B1684" s="7"/>
      <x:c r="C1684" s="7" t="str">
        <x:f>IF(B1684="","",XLOOKUP(B1684,Employees!$A$4:$A$53,Employees!$B$4:$B$53,""))</x:f>
      </x:c>
      <x:c r="D1684" s="7"/>
      <x:c r="E1684" s="10" t="n">
        <x:v>8</x:v>
      </x:c>
      <x:c r="F1684" s="10"/>
      <x:c r="G1684" s="10" t="str">
        <x:f>IF(F1684="","",MIN(F1684,E1684))</x:f>
      </x:c>
      <x:c r="H1684" s="10" t="str">
        <x:f>IF(F1684="","",MAX(0,F1684-E1684))</x:f>
      </x:c>
      <x:c r="I1684" s="24"/>
      <x:c r="J1684" s="7"/>
      <x:c r="K1684" s="8" t="str">
        <x:f>IF(A1684="","",DATE(YEAR(A1684),MONTH(A1684),1))</x:f>
      </x:c>
    </x:row>
    <x:row r="1685">
      <x:c r="A1685" s="9"/>
      <x:c r="B1685" s="7"/>
      <x:c r="C1685" s="7" t="str">
        <x:f>IF(B1685="","",XLOOKUP(B1685,Employees!$A$4:$A$53,Employees!$B$4:$B$53,""))</x:f>
      </x:c>
      <x:c r="D1685" s="7"/>
      <x:c r="E1685" s="10" t="n">
        <x:v>8</x:v>
      </x:c>
      <x:c r="F1685" s="10"/>
      <x:c r="G1685" s="10" t="str">
        <x:f>IF(F1685="","",MIN(F1685,E1685))</x:f>
      </x:c>
      <x:c r="H1685" s="10" t="str">
        <x:f>IF(F1685="","",MAX(0,F1685-E1685))</x:f>
      </x:c>
      <x:c r="I1685" s="24"/>
      <x:c r="J1685" s="7"/>
      <x:c r="K1685" s="8" t="str">
        <x:f>IF(A1685="","",DATE(YEAR(A1685),MONTH(A1685),1))</x:f>
      </x:c>
    </x:row>
    <x:row r="1686">
      <x:c r="A1686" s="9"/>
      <x:c r="B1686" s="7"/>
      <x:c r="C1686" s="7" t="str">
        <x:f>IF(B1686="","",XLOOKUP(B1686,Employees!$A$4:$A$53,Employees!$B$4:$B$53,""))</x:f>
      </x:c>
      <x:c r="D1686" s="7"/>
      <x:c r="E1686" s="10" t="n">
        <x:v>8</x:v>
      </x:c>
      <x:c r="F1686" s="10"/>
      <x:c r="G1686" s="10" t="str">
        <x:f>IF(F1686="","",MIN(F1686,E1686))</x:f>
      </x:c>
      <x:c r="H1686" s="10" t="str">
        <x:f>IF(F1686="","",MAX(0,F1686-E1686))</x:f>
      </x:c>
      <x:c r="I1686" s="24"/>
      <x:c r="J1686" s="7"/>
      <x:c r="K1686" s="8" t="str">
        <x:f>IF(A1686="","",DATE(YEAR(A1686),MONTH(A1686),1))</x:f>
      </x:c>
    </x:row>
    <x:row r="1687">
      <x:c r="A1687" s="9"/>
      <x:c r="B1687" s="7"/>
      <x:c r="C1687" s="7" t="str">
        <x:f>IF(B1687="","",XLOOKUP(B1687,Employees!$A$4:$A$53,Employees!$B$4:$B$53,""))</x:f>
      </x:c>
      <x:c r="D1687" s="7"/>
      <x:c r="E1687" s="10" t="n">
        <x:v>8</x:v>
      </x:c>
      <x:c r="F1687" s="10"/>
      <x:c r="G1687" s="10" t="str">
        <x:f>IF(F1687="","",MIN(F1687,E1687))</x:f>
      </x:c>
      <x:c r="H1687" s="10" t="str">
        <x:f>IF(F1687="","",MAX(0,F1687-E1687))</x:f>
      </x:c>
      <x:c r="I1687" s="24"/>
      <x:c r="J1687" s="7"/>
      <x:c r="K1687" s="8" t="str">
        <x:f>IF(A1687="","",DATE(YEAR(A1687),MONTH(A1687),1))</x:f>
      </x:c>
    </x:row>
    <x:row r="1688">
      <x:c r="A1688" s="9"/>
      <x:c r="B1688" s="7"/>
      <x:c r="C1688" s="7" t="str">
        <x:f>IF(B1688="","",XLOOKUP(B1688,Employees!$A$4:$A$53,Employees!$B$4:$B$53,""))</x:f>
      </x:c>
      <x:c r="D1688" s="7"/>
      <x:c r="E1688" s="10" t="n">
        <x:v>8</x:v>
      </x:c>
      <x:c r="F1688" s="10"/>
      <x:c r="G1688" s="10" t="str">
        <x:f>IF(F1688="","",MIN(F1688,E1688))</x:f>
      </x:c>
      <x:c r="H1688" s="10" t="str">
        <x:f>IF(F1688="","",MAX(0,F1688-E1688))</x:f>
      </x:c>
      <x:c r="I1688" s="24"/>
      <x:c r="J1688" s="7"/>
      <x:c r="K1688" s="8" t="str">
        <x:f>IF(A1688="","",DATE(YEAR(A1688),MONTH(A1688),1))</x:f>
      </x:c>
    </x:row>
    <x:row r="1689">
      <x:c r="A1689" s="9"/>
      <x:c r="B1689" s="7"/>
      <x:c r="C1689" s="7" t="str">
        <x:f>IF(B1689="","",XLOOKUP(B1689,Employees!$A$4:$A$53,Employees!$B$4:$B$53,""))</x:f>
      </x:c>
      <x:c r="D1689" s="7"/>
      <x:c r="E1689" s="10" t="n">
        <x:v>8</x:v>
      </x:c>
      <x:c r="F1689" s="10"/>
      <x:c r="G1689" s="10" t="str">
        <x:f>IF(F1689="","",MIN(F1689,E1689))</x:f>
      </x:c>
      <x:c r="H1689" s="10" t="str">
        <x:f>IF(F1689="","",MAX(0,F1689-E1689))</x:f>
      </x:c>
      <x:c r="I1689" s="24"/>
      <x:c r="J1689" s="7"/>
      <x:c r="K1689" s="8" t="str">
        <x:f>IF(A1689="","",DATE(YEAR(A1689),MONTH(A1689),1))</x:f>
      </x:c>
    </x:row>
    <x:row r="1690">
      <x:c r="A1690" s="9"/>
      <x:c r="B1690" s="7"/>
      <x:c r="C1690" s="7" t="str">
        <x:f>IF(B1690="","",XLOOKUP(B1690,Employees!$A$4:$A$53,Employees!$B$4:$B$53,""))</x:f>
      </x:c>
      <x:c r="D1690" s="7"/>
      <x:c r="E1690" s="10" t="n">
        <x:v>8</x:v>
      </x:c>
      <x:c r="F1690" s="10"/>
      <x:c r="G1690" s="10" t="str">
        <x:f>IF(F1690="","",MIN(F1690,E1690))</x:f>
      </x:c>
      <x:c r="H1690" s="10" t="str">
        <x:f>IF(F1690="","",MAX(0,F1690-E1690))</x:f>
      </x:c>
      <x:c r="I1690" s="24"/>
      <x:c r="J1690" s="7"/>
      <x:c r="K1690" s="8" t="str">
        <x:f>IF(A1690="","",DATE(YEAR(A1690),MONTH(A1690),1))</x:f>
      </x:c>
    </x:row>
    <x:row r="1691">
      <x:c r="A1691" s="9"/>
      <x:c r="B1691" s="7"/>
      <x:c r="C1691" s="7" t="str">
        <x:f>IF(B1691="","",XLOOKUP(B1691,Employees!$A$4:$A$53,Employees!$B$4:$B$53,""))</x:f>
      </x:c>
      <x:c r="D1691" s="7"/>
      <x:c r="E1691" s="10" t="n">
        <x:v>8</x:v>
      </x:c>
      <x:c r="F1691" s="10"/>
      <x:c r="G1691" s="10" t="str">
        <x:f>IF(F1691="","",MIN(F1691,E1691))</x:f>
      </x:c>
      <x:c r="H1691" s="10" t="str">
        <x:f>IF(F1691="","",MAX(0,F1691-E1691))</x:f>
      </x:c>
      <x:c r="I1691" s="24"/>
      <x:c r="J1691" s="7"/>
      <x:c r="K1691" s="8" t="str">
        <x:f>IF(A1691="","",DATE(YEAR(A1691),MONTH(A1691),1))</x:f>
      </x:c>
    </x:row>
    <x:row r="1692">
      <x:c r="A1692" s="9"/>
      <x:c r="B1692" s="7"/>
      <x:c r="C1692" s="7" t="str">
        <x:f>IF(B1692="","",XLOOKUP(B1692,Employees!$A$4:$A$53,Employees!$B$4:$B$53,""))</x:f>
      </x:c>
      <x:c r="D1692" s="7"/>
      <x:c r="E1692" s="10" t="n">
        <x:v>8</x:v>
      </x:c>
      <x:c r="F1692" s="10"/>
      <x:c r="G1692" s="10" t="str">
        <x:f>IF(F1692="","",MIN(F1692,E1692))</x:f>
      </x:c>
      <x:c r="H1692" s="10" t="str">
        <x:f>IF(F1692="","",MAX(0,F1692-E1692))</x:f>
      </x:c>
      <x:c r="I1692" s="24"/>
      <x:c r="J1692" s="7"/>
      <x:c r="K1692" s="8" t="str">
        <x:f>IF(A1692="","",DATE(YEAR(A1692),MONTH(A1692),1))</x:f>
      </x:c>
    </x:row>
    <x:row r="1693">
      <x:c r="A1693" s="9"/>
      <x:c r="B1693" s="7"/>
      <x:c r="C1693" s="7" t="str">
        <x:f>IF(B1693="","",XLOOKUP(B1693,Employees!$A$4:$A$53,Employees!$B$4:$B$53,""))</x:f>
      </x:c>
      <x:c r="D1693" s="7"/>
      <x:c r="E1693" s="10" t="n">
        <x:v>8</x:v>
      </x:c>
      <x:c r="F1693" s="10"/>
      <x:c r="G1693" s="10" t="str">
        <x:f>IF(F1693="","",MIN(F1693,E1693))</x:f>
      </x:c>
      <x:c r="H1693" s="10" t="str">
        <x:f>IF(F1693="","",MAX(0,F1693-E1693))</x:f>
      </x:c>
      <x:c r="I1693" s="24"/>
      <x:c r="J1693" s="7"/>
      <x:c r="K1693" s="8" t="str">
        <x:f>IF(A1693="","",DATE(YEAR(A1693),MONTH(A1693),1))</x:f>
      </x:c>
    </x:row>
    <x:row r="1694">
      <x:c r="A1694" s="9"/>
      <x:c r="B1694" s="7"/>
      <x:c r="C1694" s="7" t="str">
        <x:f>IF(B1694="","",XLOOKUP(B1694,Employees!$A$4:$A$53,Employees!$B$4:$B$53,""))</x:f>
      </x:c>
      <x:c r="D1694" s="7"/>
      <x:c r="E1694" s="10" t="n">
        <x:v>8</x:v>
      </x:c>
      <x:c r="F1694" s="10"/>
      <x:c r="G1694" s="10" t="str">
        <x:f>IF(F1694="","",MIN(F1694,E1694))</x:f>
      </x:c>
      <x:c r="H1694" s="10" t="str">
        <x:f>IF(F1694="","",MAX(0,F1694-E1694))</x:f>
      </x:c>
      <x:c r="I1694" s="24"/>
      <x:c r="J1694" s="7"/>
      <x:c r="K1694" s="8" t="str">
        <x:f>IF(A1694="","",DATE(YEAR(A1694),MONTH(A1694),1))</x:f>
      </x:c>
    </x:row>
    <x:row r="1695">
      <x:c r="A1695" s="9"/>
      <x:c r="B1695" s="7"/>
      <x:c r="C1695" s="7" t="str">
        <x:f>IF(B1695="","",XLOOKUP(B1695,Employees!$A$4:$A$53,Employees!$B$4:$B$53,""))</x:f>
      </x:c>
      <x:c r="D1695" s="7"/>
      <x:c r="E1695" s="10" t="n">
        <x:v>8</x:v>
      </x:c>
      <x:c r="F1695" s="10"/>
      <x:c r="G1695" s="10" t="str">
        <x:f>IF(F1695="","",MIN(F1695,E1695))</x:f>
      </x:c>
      <x:c r="H1695" s="10" t="str">
        <x:f>IF(F1695="","",MAX(0,F1695-E1695))</x:f>
      </x:c>
      <x:c r="I1695" s="24"/>
      <x:c r="J1695" s="7"/>
      <x:c r="K1695" s="8" t="str">
        <x:f>IF(A1695="","",DATE(YEAR(A1695),MONTH(A1695),1))</x:f>
      </x:c>
    </x:row>
    <x:row r="1696">
      <x:c r="A1696" s="9"/>
      <x:c r="B1696" s="7"/>
      <x:c r="C1696" s="7" t="str">
        <x:f>IF(B1696="","",XLOOKUP(B1696,Employees!$A$4:$A$53,Employees!$B$4:$B$53,""))</x:f>
      </x:c>
      <x:c r="D1696" s="7"/>
      <x:c r="E1696" s="10" t="n">
        <x:v>8</x:v>
      </x:c>
      <x:c r="F1696" s="10"/>
      <x:c r="G1696" s="10" t="str">
        <x:f>IF(F1696="","",MIN(F1696,E1696))</x:f>
      </x:c>
      <x:c r="H1696" s="10" t="str">
        <x:f>IF(F1696="","",MAX(0,F1696-E1696))</x:f>
      </x:c>
      <x:c r="I1696" s="24"/>
      <x:c r="J1696" s="7"/>
      <x:c r="K1696" s="8" t="str">
        <x:f>IF(A1696="","",DATE(YEAR(A1696),MONTH(A1696),1))</x:f>
      </x:c>
    </x:row>
    <x:row r="1697">
      <x:c r="A1697" s="9"/>
      <x:c r="B1697" s="7"/>
      <x:c r="C1697" s="7" t="str">
        <x:f>IF(B1697="","",XLOOKUP(B1697,Employees!$A$4:$A$53,Employees!$B$4:$B$53,""))</x:f>
      </x:c>
      <x:c r="D1697" s="7"/>
      <x:c r="E1697" s="10" t="n">
        <x:v>8</x:v>
      </x:c>
      <x:c r="F1697" s="10"/>
      <x:c r="G1697" s="10" t="str">
        <x:f>IF(F1697="","",MIN(F1697,E1697))</x:f>
      </x:c>
      <x:c r="H1697" s="10" t="str">
        <x:f>IF(F1697="","",MAX(0,F1697-E1697))</x:f>
      </x:c>
      <x:c r="I1697" s="24"/>
      <x:c r="J1697" s="7"/>
      <x:c r="K1697" s="8" t="str">
        <x:f>IF(A1697="","",DATE(YEAR(A1697),MONTH(A1697),1))</x:f>
      </x:c>
    </x:row>
    <x:row r="1698">
      <x:c r="A1698" s="9"/>
      <x:c r="B1698" s="7"/>
      <x:c r="C1698" s="7" t="str">
        <x:f>IF(B1698="","",XLOOKUP(B1698,Employees!$A$4:$A$53,Employees!$B$4:$B$53,""))</x:f>
      </x:c>
      <x:c r="D1698" s="7"/>
      <x:c r="E1698" s="10" t="n">
        <x:v>8</x:v>
      </x:c>
      <x:c r="F1698" s="10"/>
      <x:c r="G1698" s="10" t="str">
        <x:f>IF(F1698="","",MIN(F1698,E1698))</x:f>
      </x:c>
      <x:c r="H1698" s="10" t="str">
        <x:f>IF(F1698="","",MAX(0,F1698-E1698))</x:f>
      </x:c>
      <x:c r="I1698" s="24"/>
      <x:c r="J1698" s="7"/>
      <x:c r="K1698" s="8" t="str">
        <x:f>IF(A1698="","",DATE(YEAR(A1698),MONTH(A1698),1))</x:f>
      </x:c>
    </x:row>
    <x:row r="1699">
      <x:c r="A1699" s="9"/>
      <x:c r="B1699" s="7"/>
      <x:c r="C1699" s="7" t="str">
        <x:f>IF(B1699="","",XLOOKUP(B1699,Employees!$A$4:$A$53,Employees!$B$4:$B$53,""))</x:f>
      </x:c>
      <x:c r="D1699" s="7"/>
      <x:c r="E1699" s="10" t="n">
        <x:v>8</x:v>
      </x:c>
      <x:c r="F1699" s="10"/>
      <x:c r="G1699" s="10" t="str">
        <x:f>IF(F1699="","",MIN(F1699,E1699))</x:f>
      </x:c>
      <x:c r="H1699" s="10" t="str">
        <x:f>IF(F1699="","",MAX(0,F1699-E1699))</x:f>
      </x:c>
      <x:c r="I1699" s="24"/>
      <x:c r="J1699" s="7"/>
      <x:c r="K1699" s="8" t="str">
        <x:f>IF(A1699="","",DATE(YEAR(A1699),MONTH(A1699),1))</x:f>
      </x:c>
    </x:row>
    <x:row r="1700">
      <x:c r="A1700" s="9"/>
      <x:c r="B1700" s="7"/>
      <x:c r="C1700" s="7" t="str">
        <x:f>IF(B1700="","",XLOOKUP(B1700,Employees!$A$4:$A$53,Employees!$B$4:$B$53,""))</x:f>
      </x:c>
      <x:c r="D1700" s="7"/>
      <x:c r="E1700" s="10" t="n">
        <x:v>8</x:v>
      </x:c>
      <x:c r="F1700" s="10"/>
      <x:c r="G1700" s="10" t="str">
        <x:f>IF(F1700="","",MIN(F1700,E1700))</x:f>
      </x:c>
      <x:c r="H1700" s="10" t="str">
        <x:f>IF(F1700="","",MAX(0,F1700-E1700))</x:f>
      </x:c>
      <x:c r="I1700" s="24"/>
      <x:c r="J1700" s="7"/>
      <x:c r="K1700" s="8" t="str">
        <x:f>IF(A1700="","",DATE(YEAR(A1700),MONTH(A1700),1))</x:f>
      </x:c>
    </x:row>
    <x:row r="1701">
      <x:c r="A1701" s="9"/>
      <x:c r="B1701" s="7"/>
      <x:c r="C1701" s="7" t="str">
        <x:f>IF(B1701="","",XLOOKUP(B1701,Employees!$A$4:$A$53,Employees!$B$4:$B$53,""))</x:f>
      </x:c>
      <x:c r="D1701" s="7"/>
      <x:c r="E1701" s="10" t="n">
        <x:v>8</x:v>
      </x:c>
      <x:c r="F1701" s="10"/>
      <x:c r="G1701" s="10" t="str">
        <x:f>IF(F1701="","",MIN(F1701,E1701))</x:f>
      </x:c>
      <x:c r="H1701" s="10" t="str">
        <x:f>IF(F1701="","",MAX(0,F1701-E1701))</x:f>
      </x:c>
      <x:c r="I1701" s="24"/>
      <x:c r="J1701" s="7"/>
      <x:c r="K1701" s="8" t="str">
        <x:f>IF(A1701="","",DATE(YEAR(A1701),MONTH(A1701),1))</x:f>
      </x:c>
    </x:row>
    <x:row r="1702">
      <x:c r="A1702" s="9"/>
      <x:c r="B1702" s="7"/>
      <x:c r="C1702" s="7" t="str">
        <x:f>IF(B1702="","",XLOOKUP(B1702,Employees!$A$4:$A$53,Employees!$B$4:$B$53,""))</x:f>
      </x:c>
      <x:c r="D1702" s="7"/>
      <x:c r="E1702" s="10" t="n">
        <x:v>8</x:v>
      </x:c>
      <x:c r="F1702" s="10"/>
      <x:c r="G1702" s="10" t="str">
        <x:f>IF(F1702="","",MIN(F1702,E1702))</x:f>
      </x:c>
      <x:c r="H1702" s="10" t="str">
        <x:f>IF(F1702="","",MAX(0,F1702-E1702))</x:f>
      </x:c>
      <x:c r="I1702" s="24"/>
      <x:c r="J1702" s="7"/>
      <x:c r="K1702" s="8" t="str">
        <x:f>IF(A1702="","",DATE(YEAR(A1702),MONTH(A1702),1))</x:f>
      </x:c>
    </x:row>
    <x:row r="1703">
      <x:c r="A1703" s="9"/>
      <x:c r="B1703" s="7"/>
      <x:c r="C1703" s="7" t="str">
        <x:f>IF(B1703="","",XLOOKUP(B1703,Employees!$A$4:$A$53,Employees!$B$4:$B$53,""))</x:f>
      </x:c>
      <x:c r="D1703" s="7"/>
      <x:c r="E1703" s="10" t="n">
        <x:v>8</x:v>
      </x:c>
      <x:c r="F1703" s="10"/>
      <x:c r="G1703" s="10" t="str">
        <x:f>IF(F1703="","",MIN(F1703,E1703))</x:f>
      </x:c>
      <x:c r="H1703" s="10" t="str">
        <x:f>IF(F1703="","",MAX(0,F1703-E1703))</x:f>
      </x:c>
      <x:c r="I1703" s="24"/>
      <x:c r="J1703" s="7"/>
      <x:c r="K1703" s="8" t="str">
        <x:f>IF(A1703="","",DATE(YEAR(A1703),MONTH(A1703),1))</x:f>
      </x:c>
    </x:row>
    <x:row r="1704">
      <x:c r="A1704" s="9"/>
      <x:c r="B1704" s="7"/>
      <x:c r="C1704" s="7" t="str">
        <x:f>IF(B1704="","",XLOOKUP(B1704,Employees!$A$4:$A$53,Employees!$B$4:$B$53,""))</x:f>
      </x:c>
      <x:c r="D1704" s="7"/>
      <x:c r="E1704" s="10" t="n">
        <x:v>8</x:v>
      </x:c>
      <x:c r="F1704" s="10"/>
      <x:c r="G1704" s="10" t="str">
        <x:f>IF(F1704="","",MIN(F1704,E1704))</x:f>
      </x:c>
      <x:c r="H1704" s="10" t="str">
        <x:f>IF(F1704="","",MAX(0,F1704-E1704))</x:f>
      </x:c>
      <x:c r="I1704" s="24"/>
      <x:c r="J1704" s="7"/>
      <x:c r="K1704" s="8" t="str">
        <x:f>IF(A1704="","",DATE(YEAR(A1704),MONTH(A1704),1))</x:f>
      </x:c>
    </x:row>
    <x:row r="1705">
      <x:c r="A1705" s="9"/>
      <x:c r="B1705" s="7"/>
      <x:c r="C1705" s="7" t="str">
        <x:f>IF(B1705="","",XLOOKUP(B1705,Employees!$A$4:$A$53,Employees!$B$4:$B$53,""))</x:f>
      </x:c>
      <x:c r="D1705" s="7"/>
      <x:c r="E1705" s="10" t="n">
        <x:v>8</x:v>
      </x:c>
      <x:c r="F1705" s="10"/>
      <x:c r="G1705" s="10" t="str">
        <x:f>IF(F1705="","",MIN(F1705,E1705))</x:f>
      </x:c>
      <x:c r="H1705" s="10" t="str">
        <x:f>IF(F1705="","",MAX(0,F1705-E1705))</x:f>
      </x:c>
      <x:c r="I1705" s="24"/>
      <x:c r="J1705" s="7"/>
      <x:c r="K1705" s="8" t="str">
        <x:f>IF(A1705="","",DATE(YEAR(A1705),MONTH(A1705),1))</x:f>
      </x:c>
    </x:row>
    <x:row r="1706">
      <x:c r="A1706" s="9"/>
      <x:c r="B1706" s="7"/>
      <x:c r="C1706" s="7" t="str">
        <x:f>IF(B1706="","",XLOOKUP(B1706,Employees!$A$4:$A$53,Employees!$B$4:$B$53,""))</x:f>
      </x:c>
      <x:c r="D1706" s="7"/>
      <x:c r="E1706" s="10" t="n">
        <x:v>8</x:v>
      </x:c>
      <x:c r="F1706" s="10"/>
      <x:c r="G1706" s="10" t="str">
        <x:f>IF(F1706="","",MIN(F1706,E1706))</x:f>
      </x:c>
      <x:c r="H1706" s="10" t="str">
        <x:f>IF(F1706="","",MAX(0,F1706-E1706))</x:f>
      </x:c>
      <x:c r="I1706" s="24"/>
      <x:c r="J1706" s="7"/>
      <x:c r="K1706" s="8" t="str">
        <x:f>IF(A1706="","",DATE(YEAR(A1706),MONTH(A1706),1))</x:f>
      </x:c>
    </x:row>
    <x:row r="1707">
      <x:c r="A1707" s="9"/>
      <x:c r="B1707" s="7"/>
      <x:c r="C1707" s="7" t="str">
        <x:f>IF(B1707="","",XLOOKUP(B1707,Employees!$A$4:$A$53,Employees!$B$4:$B$53,""))</x:f>
      </x:c>
      <x:c r="D1707" s="7"/>
      <x:c r="E1707" s="10" t="n">
        <x:v>8</x:v>
      </x:c>
      <x:c r="F1707" s="10"/>
      <x:c r="G1707" s="10" t="str">
        <x:f>IF(F1707="","",MIN(F1707,E1707))</x:f>
      </x:c>
      <x:c r="H1707" s="10" t="str">
        <x:f>IF(F1707="","",MAX(0,F1707-E1707))</x:f>
      </x:c>
      <x:c r="I1707" s="24"/>
      <x:c r="J1707" s="7"/>
      <x:c r="K1707" s="8" t="str">
        <x:f>IF(A1707="","",DATE(YEAR(A1707),MONTH(A1707),1))</x:f>
      </x:c>
    </x:row>
    <x:row r="1708">
      <x:c r="A1708" s="9"/>
      <x:c r="B1708" s="7"/>
      <x:c r="C1708" s="7" t="str">
        <x:f>IF(B1708="","",XLOOKUP(B1708,Employees!$A$4:$A$53,Employees!$B$4:$B$53,""))</x:f>
      </x:c>
      <x:c r="D1708" s="7"/>
      <x:c r="E1708" s="10" t="n">
        <x:v>8</x:v>
      </x:c>
      <x:c r="F1708" s="10"/>
      <x:c r="G1708" s="10" t="str">
        <x:f>IF(F1708="","",MIN(F1708,E1708))</x:f>
      </x:c>
      <x:c r="H1708" s="10" t="str">
        <x:f>IF(F1708="","",MAX(0,F1708-E1708))</x:f>
      </x:c>
      <x:c r="I1708" s="24"/>
      <x:c r="J1708" s="7"/>
      <x:c r="K1708" s="8" t="str">
        <x:f>IF(A1708="","",DATE(YEAR(A1708),MONTH(A1708),1))</x:f>
      </x:c>
    </x:row>
    <x:row r="1709">
      <x:c r="A1709" s="9"/>
      <x:c r="B1709" s="7"/>
      <x:c r="C1709" s="7" t="str">
        <x:f>IF(B1709="","",XLOOKUP(B1709,Employees!$A$4:$A$53,Employees!$B$4:$B$53,""))</x:f>
      </x:c>
      <x:c r="D1709" s="7"/>
      <x:c r="E1709" s="10" t="n">
        <x:v>8</x:v>
      </x:c>
      <x:c r="F1709" s="10"/>
      <x:c r="G1709" s="10" t="str">
        <x:f>IF(F1709="","",MIN(F1709,E1709))</x:f>
      </x:c>
      <x:c r="H1709" s="10" t="str">
        <x:f>IF(F1709="","",MAX(0,F1709-E1709))</x:f>
      </x:c>
      <x:c r="I1709" s="24"/>
      <x:c r="J1709" s="7"/>
      <x:c r="K1709" s="8" t="str">
        <x:f>IF(A1709="","",DATE(YEAR(A1709),MONTH(A1709),1))</x:f>
      </x:c>
    </x:row>
    <x:row r="1710">
      <x:c r="A1710" s="9"/>
      <x:c r="B1710" s="7"/>
      <x:c r="C1710" s="7" t="str">
        <x:f>IF(B1710="","",XLOOKUP(B1710,Employees!$A$4:$A$53,Employees!$B$4:$B$53,""))</x:f>
      </x:c>
      <x:c r="D1710" s="7"/>
      <x:c r="E1710" s="10" t="n">
        <x:v>8</x:v>
      </x:c>
      <x:c r="F1710" s="10"/>
      <x:c r="G1710" s="10" t="str">
        <x:f>IF(F1710="","",MIN(F1710,E1710))</x:f>
      </x:c>
      <x:c r="H1710" s="10" t="str">
        <x:f>IF(F1710="","",MAX(0,F1710-E1710))</x:f>
      </x:c>
      <x:c r="I1710" s="24"/>
      <x:c r="J1710" s="7"/>
      <x:c r="K1710" s="8" t="str">
        <x:f>IF(A1710="","",DATE(YEAR(A1710),MONTH(A1710),1))</x:f>
      </x:c>
    </x:row>
    <x:row r="1711">
      <x:c r="A1711" s="9"/>
      <x:c r="B1711" s="7"/>
      <x:c r="C1711" s="7" t="str">
        <x:f>IF(B1711="","",XLOOKUP(B1711,Employees!$A$4:$A$53,Employees!$B$4:$B$53,""))</x:f>
      </x:c>
      <x:c r="D1711" s="7"/>
      <x:c r="E1711" s="10" t="n">
        <x:v>8</x:v>
      </x:c>
      <x:c r="F1711" s="10"/>
      <x:c r="G1711" s="10" t="str">
        <x:f>IF(F1711="","",MIN(F1711,E1711))</x:f>
      </x:c>
      <x:c r="H1711" s="10" t="str">
        <x:f>IF(F1711="","",MAX(0,F1711-E1711))</x:f>
      </x:c>
      <x:c r="I1711" s="24"/>
      <x:c r="J1711" s="7"/>
      <x:c r="K1711" s="8" t="str">
        <x:f>IF(A1711="","",DATE(YEAR(A1711),MONTH(A1711),1))</x:f>
      </x:c>
    </x:row>
    <x:row r="1712">
      <x:c r="A1712" s="9"/>
      <x:c r="B1712" s="7"/>
      <x:c r="C1712" s="7" t="str">
        <x:f>IF(B1712="","",XLOOKUP(B1712,Employees!$A$4:$A$53,Employees!$B$4:$B$53,""))</x:f>
      </x:c>
      <x:c r="D1712" s="7"/>
      <x:c r="E1712" s="10" t="n">
        <x:v>8</x:v>
      </x:c>
      <x:c r="F1712" s="10"/>
      <x:c r="G1712" s="10" t="str">
        <x:f>IF(F1712="","",MIN(F1712,E1712))</x:f>
      </x:c>
      <x:c r="H1712" s="10" t="str">
        <x:f>IF(F1712="","",MAX(0,F1712-E1712))</x:f>
      </x:c>
      <x:c r="I1712" s="24"/>
      <x:c r="J1712" s="7"/>
      <x:c r="K1712" s="8" t="str">
        <x:f>IF(A1712="","",DATE(YEAR(A1712),MONTH(A1712),1))</x:f>
      </x:c>
    </x:row>
    <x:row r="1713">
      <x:c r="A1713" s="9"/>
      <x:c r="B1713" s="7"/>
      <x:c r="C1713" s="7" t="str">
        <x:f>IF(B1713="","",XLOOKUP(B1713,Employees!$A$4:$A$53,Employees!$B$4:$B$53,""))</x:f>
      </x:c>
      <x:c r="D1713" s="7"/>
      <x:c r="E1713" s="10" t="n">
        <x:v>8</x:v>
      </x:c>
      <x:c r="F1713" s="10"/>
      <x:c r="G1713" s="10" t="str">
        <x:f>IF(F1713="","",MIN(F1713,E1713))</x:f>
      </x:c>
      <x:c r="H1713" s="10" t="str">
        <x:f>IF(F1713="","",MAX(0,F1713-E1713))</x:f>
      </x:c>
      <x:c r="I1713" s="24"/>
      <x:c r="J1713" s="7"/>
      <x:c r="K1713" s="8" t="str">
        <x:f>IF(A1713="","",DATE(YEAR(A1713),MONTH(A1713),1))</x:f>
      </x:c>
    </x:row>
    <x:row r="1714">
      <x:c r="A1714" s="9"/>
      <x:c r="B1714" s="7"/>
      <x:c r="C1714" s="7" t="str">
        <x:f>IF(B1714="","",XLOOKUP(B1714,Employees!$A$4:$A$53,Employees!$B$4:$B$53,""))</x:f>
      </x:c>
      <x:c r="D1714" s="7"/>
      <x:c r="E1714" s="10" t="n">
        <x:v>8</x:v>
      </x:c>
      <x:c r="F1714" s="10"/>
      <x:c r="G1714" s="10" t="str">
        <x:f>IF(F1714="","",MIN(F1714,E1714))</x:f>
      </x:c>
      <x:c r="H1714" s="10" t="str">
        <x:f>IF(F1714="","",MAX(0,F1714-E1714))</x:f>
      </x:c>
      <x:c r="I1714" s="24"/>
      <x:c r="J1714" s="7"/>
      <x:c r="K1714" s="8" t="str">
        <x:f>IF(A1714="","",DATE(YEAR(A1714),MONTH(A1714),1))</x:f>
      </x:c>
    </x:row>
    <x:row r="1715">
      <x:c r="A1715" s="9"/>
      <x:c r="B1715" s="7"/>
      <x:c r="C1715" s="7" t="str">
        <x:f>IF(B1715="","",XLOOKUP(B1715,Employees!$A$4:$A$53,Employees!$B$4:$B$53,""))</x:f>
      </x:c>
      <x:c r="D1715" s="7"/>
      <x:c r="E1715" s="10" t="n">
        <x:v>8</x:v>
      </x:c>
      <x:c r="F1715" s="10"/>
      <x:c r="G1715" s="10" t="str">
        <x:f>IF(F1715="","",MIN(F1715,E1715))</x:f>
      </x:c>
      <x:c r="H1715" s="10" t="str">
        <x:f>IF(F1715="","",MAX(0,F1715-E1715))</x:f>
      </x:c>
      <x:c r="I1715" s="24"/>
      <x:c r="J1715" s="7"/>
      <x:c r="K1715" s="8" t="str">
        <x:f>IF(A1715="","",DATE(YEAR(A1715),MONTH(A1715),1))</x:f>
      </x:c>
    </x:row>
    <x:row r="1716">
      <x:c r="A1716" s="9"/>
      <x:c r="B1716" s="7"/>
      <x:c r="C1716" s="7" t="str">
        <x:f>IF(B1716="","",XLOOKUP(B1716,Employees!$A$4:$A$53,Employees!$B$4:$B$53,""))</x:f>
      </x:c>
      <x:c r="D1716" s="7"/>
      <x:c r="E1716" s="10" t="n">
        <x:v>8</x:v>
      </x:c>
      <x:c r="F1716" s="10"/>
      <x:c r="G1716" s="10" t="str">
        <x:f>IF(F1716="","",MIN(F1716,E1716))</x:f>
      </x:c>
      <x:c r="H1716" s="10" t="str">
        <x:f>IF(F1716="","",MAX(0,F1716-E1716))</x:f>
      </x:c>
      <x:c r="I1716" s="24"/>
      <x:c r="J1716" s="7"/>
      <x:c r="K1716" s="8" t="str">
        <x:f>IF(A1716="","",DATE(YEAR(A1716),MONTH(A1716),1))</x:f>
      </x:c>
    </x:row>
    <x:row r="1717">
      <x:c r="A1717" s="9"/>
      <x:c r="B1717" s="7"/>
      <x:c r="C1717" s="7" t="str">
        <x:f>IF(B1717="","",XLOOKUP(B1717,Employees!$A$4:$A$53,Employees!$B$4:$B$53,""))</x:f>
      </x:c>
      <x:c r="D1717" s="7"/>
      <x:c r="E1717" s="10" t="n">
        <x:v>8</x:v>
      </x:c>
      <x:c r="F1717" s="10"/>
      <x:c r="G1717" s="10" t="str">
        <x:f>IF(F1717="","",MIN(F1717,E1717))</x:f>
      </x:c>
      <x:c r="H1717" s="10" t="str">
        <x:f>IF(F1717="","",MAX(0,F1717-E1717))</x:f>
      </x:c>
      <x:c r="I1717" s="24"/>
      <x:c r="J1717" s="7"/>
      <x:c r="K1717" s="8" t="str">
        <x:f>IF(A1717="","",DATE(YEAR(A1717),MONTH(A1717),1))</x:f>
      </x:c>
    </x:row>
    <x:row r="1718">
      <x:c r="A1718" s="9"/>
      <x:c r="B1718" s="7"/>
      <x:c r="C1718" s="7" t="str">
        <x:f>IF(B1718="","",XLOOKUP(B1718,Employees!$A$4:$A$53,Employees!$B$4:$B$53,""))</x:f>
      </x:c>
      <x:c r="D1718" s="7"/>
      <x:c r="E1718" s="10" t="n">
        <x:v>8</x:v>
      </x:c>
      <x:c r="F1718" s="10"/>
      <x:c r="G1718" s="10" t="str">
        <x:f>IF(F1718="","",MIN(F1718,E1718))</x:f>
      </x:c>
      <x:c r="H1718" s="10" t="str">
        <x:f>IF(F1718="","",MAX(0,F1718-E1718))</x:f>
      </x:c>
      <x:c r="I1718" s="24"/>
      <x:c r="J1718" s="7"/>
      <x:c r="K1718" s="8" t="str">
        <x:f>IF(A1718="","",DATE(YEAR(A1718),MONTH(A1718),1))</x:f>
      </x:c>
    </x:row>
    <x:row r="1719">
      <x:c r="A1719" s="9"/>
      <x:c r="B1719" s="7"/>
      <x:c r="C1719" s="7" t="str">
        <x:f>IF(B1719="","",XLOOKUP(B1719,Employees!$A$4:$A$53,Employees!$B$4:$B$53,""))</x:f>
      </x:c>
      <x:c r="D1719" s="7"/>
      <x:c r="E1719" s="10" t="n">
        <x:v>8</x:v>
      </x:c>
      <x:c r="F1719" s="10"/>
      <x:c r="G1719" s="10" t="str">
        <x:f>IF(F1719="","",MIN(F1719,E1719))</x:f>
      </x:c>
      <x:c r="H1719" s="10" t="str">
        <x:f>IF(F1719="","",MAX(0,F1719-E1719))</x:f>
      </x:c>
      <x:c r="I1719" s="24"/>
      <x:c r="J1719" s="7"/>
      <x:c r="K1719" s="8" t="str">
        <x:f>IF(A1719="","",DATE(YEAR(A1719),MONTH(A1719),1))</x:f>
      </x:c>
    </x:row>
    <x:row r="1720">
      <x:c r="A1720" s="9"/>
      <x:c r="B1720" s="7"/>
      <x:c r="C1720" s="7" t="str">
        <x:f>IF(B1720="","",XLOOKUP(B1720,Employees!$A$4:$A$53,Employees!$B$4:$B$53,""))</x:f>
      </x:c>
      <x:c r="D1720" s="7"/>
      <x:c r="E1720" s="10" t="n">
        <x:v>8</x:v>
      </x:c>
      <x:c r="F1720" s="10"/>
      <x:c r="G1720" s="10" t="str">
        <x:f>IF(F1720="","",MIN(F1720,E1720))</x:f>
      </x:c>
      <x:c r="H1720" s="10" t="str">
        <x:f>IF(F1720="","",MAX(0,F1720-E1720))</x:f>
      </x:c>
      <x:c r="I1720" s="24"/>
      <x:c r="J1720" s="7"/>
      <x:c r="K1720" s="8" t="str">
        <x:f>IF(A1720="","",DATE(YEAR(A1720),MONTH(A1720),1))</x:f>
      </x:c>
    </x:row>
    <x:row r="1721">
      <x:c r="A1721" s="9"/>
      <x:c r="B1721" s="7"/>
      <x:c r="C1721" s="7" t="str">
        <x:f>IF(B1721="","",XLOOKUP(B1721,Employees!$A$4:$A$53,Employees!$B$4:$B$53,""))</x:f>
      </x:c>
      <x:c r="D1721" s="7"/>
      <x:c r="E1721" s="10" t="n">
        <x:v>8</x:v>
      </x:c>
      <x:c r="F1721" s="10"/>
      <x:c r="G1721" s="10" t="str">
        <x:f>IF(F1721="","",MIN(F1721,E1721))</x:f>
      </x:c>
      <x:c r="H1721" s="10" t="str">
        <x:f>IF(F1721="","",MAX(0,F1721-E1721))</x:f>
      </x:c>
      <x:c r="I1721" s="24"/>
      <x:c r="J1721" s="7"/>
      <x:c r="K1721" s="8" t="str">
        <x:f>IF(A1721="","",DATE(YEAR(A1721),MONTH(A1721),1))</x:f>
      </x:c>
    </x:row>
    <x:row r="1722">
      <x:c r="A1722" s="9"/>
      <x:c r="B1722" s="7"/>
      <x:c r="C1722" s="7" t="str">
        <x:f>IF(B1722="","",XLOOKUP(B1722,Employees!$A$4:$A$53,Employees!$B$4:$B$53,""))</x:f>
      </x:c>
      <x:c r="D1722" s="7"/>
      <x:c r="E1722" s="10" t="n">
        <x:v>8</x:v>
      </x:c>
      <x:c r="F1722" s="10"/>
      <x:c r="G1722" s="10" t="str">
        <x:f>IF(F1722="","",MIN(F1722,E1722))</x:f>
      </x:c>
      <x:c r="H1722" s="10" t="str">
        <x:f>IF(F1722="","",MAX(0,F1722-E1722))</x:f>
      </x:c>
      <x:c r="I1722" s="24"/>
      <x:c r="J1722" s="7"/>
      <x:c r="K1722" s="8" t="str">
        <x:f>IF(A1722="","",DATE(YEAR(A1722),MONTH(A1722),1))</x:f>
      </x:c>
    </x:row>
    <x:row r="1723">
      <x:c r="A1723" s="9"/>
      <x:c r="B1723" s="7"/>
      <x:c r="C1723" s="7" t="str">
        <x:f>IF(B1723="","",XLOOKUP(B1723,Employees!$A$4:$A$53,Employees!$B$4:$B$53,""))</x:f>
      </x:c>
      <x:c r="D1723" s="7"/>
      <x:c r="E1723" s="10" t="n">
        <x:v>8</x:v>
      </x:c>
      <x:c r="F1723" s="10"/>
      <x:c r="G1723" s="10" t="str">
        <x:f>IF(F1723="","",MIN(F1723,E1723))</x:f>
      </x:c>
      <x:c r="H1723" s="10" t="str">
        <x:f>IF(F1723="","",MAX(0,F1723-E1723))</x:f>
      </x:c>
      <x:c r="I1723" s="24"/>
      <x:c r="J1723" s="7"/>
      <x:c r="K1723" s="8" t="str">
        <x:f>IF(A1723="","",DATE(YEAR(A1723),MONTH(A1723),1))</x:f>
      </x:c>
    </x:row>
    <x:row r="1724">
      <x:c r="A1724" s="9"/>
      <x:c r="B1724" s="7"/>
      <x:c r="C1724" s="7" t="str">
        <x:f>IF(B1724="","",XLOOKUP(B1724,Employees!$A$4:$A$53,Employees!$B$4:$B$53,""))</x:f>
      </x:c>
      <x:c r="D1724" s="7"/>
      <x:c r="E1724" s="10" t="n">
        <x:v>8</x:v>
      </x:c>
      <x:c r="F1724" s="10"/>
      <x:c r="G1724" s="10" t="str">
        <x:f>IF(F1724="","",MIN(F1724,E1724))</x:f>
      </x:c>
      <x:c r="H1724" s="10" t="str">
        <x:f>IF(F1724="","",MAX(0,F1724-E1724))</x:f>
      </x:c>
      <x:c r="I1724" s="24"/>
      <x:c r="J1724" s="7"/>
      <x:c r="K1724" s="8" t="str">
        <x:f>IF(A1724="","",DATE(YEAR(A1724),MONTH(A1724),1))</x:f>
      </x:c>
    </x:row>
    <x:row r="1725">
      <x:c r="A1725" s="9"/>
      <x:c r="B1725" s="7"/>
      <x:c r="C1725" s="7" t="str">
        <x:f>IF(B1725="","",XLOOKUP(B1725,Employees!$A$4:$A$53,Employees!$B$4:$B$53,""))</x:f>
      </x:c>
      <x:c r="D1725" s="7"/>
      <x:c r="E1725" s="10" t="n">
        <x:v>8</x:v>
      </x:c>
      <x:c r="F1725" s="10"/>
      <x:c r="G1725" s="10" t="str">
        <x:f>IF(F1725="","",MIN(F1725,E1725))</x:f>
      </x:c>
      <x:c r="H1725" s="10" t="str">
        <x:f>IF(F1725="","",MAX(0,F1725-E1725))</x:f>
      </x:c>
      <x:c r="I1725" s="24"/>
      <x:c r="J1725" s="7"/>
      <x:c r="K1725" s="8" t="str">
        <x:f>IF(A1725="","",DATE(YEAR(A1725),MONTH(A1725),1))</x:f>
      </x:c>
    </x:row>
    <x:row r="1726">
      <x:c r="A1726" s="9"/>
      <x:c r="B1726" s="7"/>
      <x:c r="C1726" s="7" t="str">
        <x:f>IF(B1726="","",XLOOKUP(B1726,Employees!$A$4:$A$53,Employees!$B$4:$B$53,""))</x:f>
      </x:c>
      <x:c r="D1726" s="7"/>
      <x:c r="E1726" s="10" t="n">
        <x:v>8</x:v>
      </x:c>
      <x:c r="F1726" s="10"/>
      <x:c r="G1726" s="10" t="str">
        <x:f>IF(F1726="","",MIN(F1726,E1726))</x:f>
      </x:c>
      <x:c r="H1726" s="10" t="str">
        <x:f>IF(F1726="","",MAX(0,F1726-E1726))</x:f>
      </x:c>
      <x:c r="I1726" s="24"/>
      <x:c r="J1726" s="7"/>
      <x:c r="K1726" s="8" t="str">
        <x:f>IF(A1726="","",DATE(YEAR(A1726),MONTH(A1726),1))</x:f>
      </x:c>
    </x:row>
    <x:row r="1727">
      <x:c r="A1727" s="9"/>
      <x:c r="B1727" s="7"/>
      <x:c r="C1727" s="7" t="str">
        <x:f>IF(B1727="","",XLOOKUP(B1727,Employees!$A$4:$A$53,Employees!$B$4:$B$53,""))</x:f>
      </x:c>
      <x:c r="D1727" s="7"/>
      <x:c r="E1727" s="10" t="n">
        <x:v>8</x:v>
      </x:c>
      <x:c r="F1727" s="10"/>
      <x:c r="G1727" s="10" t="str">
        <x:f>IF(F1727="","",MIN(F1727,E1727))</x:f>
      </x:c>
      <x:c r="H1727" s="10" t="str">
        <x:f>IF(F1727="","",MAX(0,F1727-E1727))</x:f>
      </x:c>
      <x:c r="I1727" s="24"/>
      <x:c r="J1727" s="7"/>
      <x:c r="K1727" s="8" t="str">
        <x:f>IF(A1727="","",DATE(YEAR(A1727),MONTH(A1727),1))</x:f>
      </x:c>
    </x:row>
    <x:row r="1728">
      <x:c r="A1728" s="9"/>
      <x:c r="B1728" s="7"/>
      <x:c r="C1728" s="7" t="str">
        <x:f>IF(B1728="","",XLOOKUP(B1728,Employees!$A$4:$A$53,Employees!$B$4:$B$53,""))</x:f>
      </x:c>
      <x:c r="D1728" s="7"/>
      <x:c r="E1728" s="10" t="n">
        <x:v>8</x:v>
      </x:c>
      <x:c r="F1728" s="10"/>
      <x:c r="G1728" s="10" t="str">
        <x:f>IF(F1728="","",MIN(F1728,E1728))</x:f>
      </x:c>
      <x:c r="H1728" s="10" t="str">
        <x:f>IF(F1728="","",MAX(0,F1728-E1728))</x:f>
      </x:c>
      <x:c r="I1728" s="24"/>
      <x:c r="J1728" s="7"/>
      <x:c r="K1728" s="8" t="str">
        <x:f>IF(A1728="","",DATE(YEAR(A1728),MONTH(A1728),1))</x:f>
      </x:c>
    </x:row>
    <x:row r="1729">
      <x:c r="A1729" s="9"/>
      <x:c r="B1729" s="7"/>
      <x:c r="C1729" s="7" t="str">
        <x:f>IF(B1729="","",XLOOKUP(B1729,Employees!$A$4:$A$53,Employees!$B$4:$B$53,""))</x:f>
      </x:c>
      <x:c r="D1729" s="7"/>
      <x:c r="E1729" s="10" t="n">
        <x:v>8</x:v>
      </x:c>
      <x:c r="F1729" s="10"/>
      <x:c r="G1729" s="10" t="str">
        <x:f>IF(F1729="","",MIN(F1729,E1729))</x:f>
      </x:c>
      <x:c r="H1729" s="10" t="str">
        <x:f>IF(F1729="","",MAX(0,F1729-E1729))</x:f>
      </x:c>
      <x:c r="I1729" s="24"/>
      <x:c r="J1729" s="7"/>
      <x:c r="K1729" s="8" t="str">
        <x:f>IF(A1729="","",DATE(YEAR(A1729),MONTH(A1729),1))</x:f>
      </x:c>
    </x:row>
    <x:row r="1730">
      <x:c r="A1730" s="9"/>
      <x:c r="B1730" s="7"/>
      <x:c r="C1730" s="7" t="str">
        <x:f>IF(B1730="","",XLOOKUP(B1730,Employees!$A$4:$A$53,Employees!$B$4:$B$53,""))</x:f>
      </x:c>
      <x:c r="D1730" s="7"/>
      <x:c r="E1730" s="10" t="n">
        <x:v>8</x:v>
      </x:c>
      <x:c r="F1730" s="10"/>
      <x:c r="G1730" s="10" t="str">
        <x:f>IF(F1730="","",MIN(F1730,E1730))</x:f>
      </x:c>
      <x:c r="H1730" s="10" t="str">
        <x:f>IF(F1730="","",MAX(0,F1730-E1730))</x:f>
      </x:c>
      <x:c r="I1730" s="24"/>
      <x:c r="J1730" s="7"/>
      <x:c r="K1730" s="8" t="str">
        <x:f>IF(A1730="","",DATE(YEAR(A1730),MONTH(A1730),1))</x:f>
      </x:c>
    </x:row>
    <x:row r="1731">
      <x:c r="A1731" s="9"/>
      <x:c r="B1731" s="7"/>
      <x:c r="C1731" s="7" t="str">
        <x:f>IF(B1731="","",XLOOKUP(B1731,Employees!$A$4:$A$53,Employees!$B$4:$B$53,""))</x:f>
      </x:c>
      <x:c r="D1731" s="7"/>
      <x:c r="E1731" s="10" t="n">
        <x:v>8</x:v>
      </x:c>
      <x:c r="F1731" s="10"/>
      <x:c r="G1731" s="10" t="str">
        <x:f>IF(F1731="","",MIN(F1731,E1731))</x:f>
      </x:c>
      <x:c r="H1731" s="10" t="str">
        <x:f>IF(F1731="","",MAX(0,F1731-E1731))</x:f>
      </x:c>
      <x:c r="I1731" s="24"/>
      <x:c r="J1731" s="7"/>
      <x:c r="K1731" s="8" t="str">
        <x:f>IF(A1731="","",DATE(YEAR(A1731),MONTH(A1731),1))</x:f>
      </x:c>
    </x:row>
    <x:row r="1732">
      <x:c r="A1732" s="9"/>
      <x:c r="B1732" s="7"/>
      <x:c r="C1732" s="7" t="str">
        <x:f>IF(B1732="","",XLOOKUP(B1732,Employees!$A$4:$A$53,Employees!$B$4:$B$53,""))</x:f>
      </x:c>
      <x:c r="D1732" s="7"/>
      <x:c r="E1732" s="10" t="n">
        <x:v>8</x:v>
      </x:c>
      <x:c r="F1732" s="10"/>
      <x:c r="G1732" s="10" t="str">
        <x:f>IF(F1732="","",MIN(F1732,E1732))</x:f>
      </x:c>
      <x:c r="H1732" s="10" t="str">
        <x:f>IF(F1732="","",MAX(0,F1732-E1732))</x:f>
      </x:c>
      <x:c r="I1732" s="24"/>
      <x:c r="J1732" s="7"/>
      <x:c r="K1732" s="8" t="str">
        <x:f>IF(A1732="","",DATE(YEAR(A1732),MONTH(A1732),1))</x:f>
      </x:c>
    </x:row>
    <x:row r="1733">
      <x:c r="A1733" s="9"/>
      <x:c r="B1733" s="7"/>
      <x:c r="C1733" s="7" t="str">
        <x:f>IF(B1733="","",XLOOKUP(B1733,Employees!$A$4:$A$53,Employees!$B$4:$B$53,""))</x:f>
      </x:c>
      <x:c r="D1733" s="7"/>
      <x:c r="E1733" s="10" t="n">
        <x:v>8</x:v>
      </x:c>
      <x:c r="F1733" s="10"/>
      <x:c r="G1733" s="10" t="str">
        <x:f>IF(F1733="","",MIN(F1733,E1733))</x:f>
      </x:c>
      <x:c r="H1733" s="10" t="str">
        <x:f>IF(F1733="","",MAX(0,F1733-E1733))</x:f>
      </x:c>
      <x:c r="I1733" s="24"/>
      <x:c r="J1733" s="7"/>
      <x:c r="K1733" s="8" t="str">
        <x:f>IF(A1733="","",DATE(YEAR(A1733),MONTH(A1733),1))</x:f>
      </x:c>
    </x:row>
    <x:row r="1734">
      <x:c r="A1734" s="9"/>
      <x:c r="B1734" s="7"/>
      <x:c r="C1734" s="7" t="str">
        <x:f>IF(B1734="","",XLOOKUP(B1734,Employees!$A$4:$A$53,Employees!$B$4:$B$53,""))</x:f>
      </x:c>
      <x:c r="D1734" s="7"/>
      <x:c r="E1734" s="10" t="n">
        <x:v>8</x:v>
      </x:c>
      <x:c r="F1734" s="10"/>
      <x:c r="G1734" s="10" t="str">
        <x:f>IF(F1734="","",MIN(F1734,E1734))</x:f>
      </x:c>
      <x:c r="H1734" s="10" t="str">
        <x:f>IF(F1734="","",MAX(0,F1734-E1734))</x:f>
      </x:c>
      <x:c r="I1734" s="24"/>
      <x:c r="J1734" s="7"/>
      <x:c r="K1734" s="8" t="str">
        <x:f>IF(A1734="","",DATE(YEAR(A1734),MONTH(A1734),1))</x:f>
      </x:c>
    </x:row>
    <x:row r="1735">
      <x:c r="A1735" s="9"/>
      <x:c r="B1735" s="7"/>
      <x:c r="C1735" s="7" t="str">
        <x:f>IF(B1735="","",XLOOKUP(B1735,Employees!$A$4:$A$53,Employees!$B$4:$B$53,""))</x:f>
      </x:c>
      <x:c r="D1735" s="7"/>
      <x:c r="E1735" s="10" t="n">
        <x:v>8</x:v>
      </x:c>
      <x:c r="F1735" s="10"/>
      <x:c r="G1735" s="10" t="str">
        <x:f>IF(F1735="","",MIN(F1735,E1735))</x:f>
      </x:c>
      <x:c r="H1735" s="10" t="str">
        <x:f>IF(F1735="","",MAX(0,F1735-E1735))</x:f>
      </x:c>
      <x:c r="I1735" s="24"/>
      <x:c r="J1735" s="7"/>
      <x:c r="K1735" s="8" t="str">
        <x:f>IF(A1735="","",DATE(YEAR(A1735),MONTH(A1735),1))</x:f>
      </x:c>
    </x:row>
    <x:row r="1736">
      <x:c r="A1736" s="9"/>
      <x:c r="B1736" s="7"/>
      <x:c r="C1736" s="7" t="str">
        <x:f>IF(B1736="","",XLOOKUP(B1736,Employees!$A$4:$A$53,Employees!$B$4:$B$53,""))</x:f>
      </x:c>
      <x:c r="D1736" s="7"/>
      <x:c r="E1736" s="10" t="n">
        <x:v>8</x:v>
      </x:c>
      <x:c r="F1736" s="10"/>
      <x:c r="G1736" s="10" t="str">
        <x:f>IF(F1736="","",MIN(F1736,E1736))</x:f>
      </x:c>
      <x:c r="H1736" s="10" t="str">
        <x:f>IF(F1736="","",MAX(0,F1736-E1736))</x:f>
      </x:c>
      <x:c r="I1736" s="24"/>
      <x:c r="J1736" s="7"/>
      <x:c r="K1736" s="8" t="str">
        <x:f>IF(A1736="","",DATE(YEAR(A1736),MONTH(A1736),1))</x:f>
      </x:c>
    </x:row>
    <x:row r="1737">
      <x:c r="A1737" s="9"/>
      <x:c r="B1737" s="7"/>
      <x:c r="C1737" s="7" t="str">
        <x:f>IF(B1737="","",XLOOKUP(B1737,Employees!$A$4:$A$53,Employees!$B$4:$B$53,""))</x:f>
      </x:c>
      <x:c r="D1737" s="7"/>
      <x:c r="E1737" s="10" t="n">
        <x:v>8</x:v>
      </x:c>
      <x:c r="F1737" s="10"/>
      <x:c r="G1737" s="10" t="str">
        <x:f>IF(F1737="","",MIN(F1737,E1737))</x:f>
      </x:c>
      <x:c r="H1737" s="10" t="str">
        <x:f>IF(F1737="","",MAX(0,F1737-E1737))</x:f>
      </x:c>
      <x:c r="I1737" s="24"/>
      <x:c r="J1737" s="7"/>
      <x:c r="K1737" s="8" t="str">
        <x:f>IF(A1737="","",DATE(YEAR(A1737),MONTH(A1737),1))</x:f>
      </x:c>
    </x:row>
    <x:row r="1738">
      <x:c r="A1738" s="9"/>
      <x:c r="B1738" s="7"/>
      <x:c r="C1738" s="7" t="str">
        <x:f>IF(B1738="","",XLOOKUP(B1738,Employees!$A$4:$A$53,Employees!$B$4:$B$53,""))</x:f>
      </x:c>
      <x:c r="D1738" s="7"/>
      <x:c r="E1738" s="10" t="n">
        <x:v>8</x:v>
      </x:c>
      <x:c r="F1738" s="10"/>
      <x:c r="G1738" s="10" t="str">
        <x:f>IF(F1738="","",MIN(F1738,E1738))</x:f>
      </x:c>
      <x:c r="H1738" s="10" t="str">
        <x:f>IF(F1738="","",MAX(0,F1738-E1738))</x:f>
      </x:c>
      <x:c r="I1738" s="24"/>
      <x:c r="J1738" s="7"/>
      <x:c r="K1738" s="8" t="str">
        <x:f>IF(A1738="","",DATE(YEAR(A1738),MONTH(A1738),1))</x:f>
      </x:c>
    </x:row>
    <x:row r="1739">
      <x:c r="A1739" s="9"/>
      <x:c r="B1739" s="7"/>
      <x:c r="C1739" s="7" t="str">
        <x:f>IF(B1739="","",XLOOKUP(B1739,Employees!$A$4:$A$53,Employees!$B$4:$B$53,""))</x:f>
      </x:c>
      <x:c r="D1739" s="7"/>
      <x:c r="E1739" s="10" t="n">
        <x:v>8</x:v>
      </x:c>
      <x:c r="F1739" s="10"/>
      <x:c r="G1739" s="10" t="str">
        <x:f>IF(F1739="","",MIN(F1739,E1739))</x:f>
      </x:c>
      <x:c r="H1739" s="10" t="str">
        <x:f>IF(F1739="","",MAX(0,F1739-E1739))</x:f>
      </x:c>
      <x:c r="I1739" s="24"/>
      <x:c r="J1739" s="7"/>
      <x:c r="K1739" s="8" t="str">
        <x:f>IF(A1739="","",DATE(YEAR(A1739),MONTH(A1739),1))</x:f>
      </x:c>
    </x:row>
    <x:row r="1740">
      <x:c r="A1740" s="9"/>
      <x:c r="B1740" s="7"/>
      <x:c r="C1740" s="7" t="str">
        <x:f>IF(B1740="","",XLOOKUP(B1740,Employees!$A$4:$A$53,Employees!$B$4:$B$53,""))</x:f>
      </x:c>
      <x:c r="D1740" s="7"/>
      <x:c r="E1740" s="10" t="n">
        <x:v>8</x:v>
      </x:c>
      <x:c r="F1740" s="10"/>
      <x:c r="G1740" s="10" t="str">
        <x:f>IF(F1740="","",MIN(F1740,E1740))</x:f>
      </x:c>
      <x:c r="H1740" s="10" t="str">
        <x:f>IF(F1740="","",MAX(0,F1740-E1740))</x:f>
      </x:c>
      <x:c r="I1740" s="24"/>
      <x:c r="J1740" s="7"/>
      <x:c r="K1740" s="8" t="str">
        <x:f>IF(A1740="","",DATE(YEAR(A1740),MONTH(A1740),1))</x:f>
      </x:c>
    </x:row>
    <x:row r="1741">
      <x:c r="A1741" s="9"/>
      <x:c r="B1741" s="7"/>
      <x:c r="C1741" s="7" t="str">
        <x:f>IF(B1741="","",XLOOKUP(B1741,Employees!$A$4:$A$53,Employees!$B$4:$B$53,""))</x:f>
      </x:c>
      <x:c r="D1741" s="7"/>
      <x:c r="E1741" s="10" t="n">
        <x:v>8</x:v>
      </x:c>
      <x:c r="F1741" s="10"/>
      <x:c r="G1741" s="10" t="str">
        <x:f>IF(F1741="","",MIN(F1741,E1741))</x:f>
      </x:c>
      <x:c r="H1741" s="10" t="str">
        <x:f>IF(F1741="","",MAX(0,F1741-E1741))</x:f>
      </x:c>
      <x:c r="I1741" s="24"/>
      <x:c r="J1741" s="7"/>
      <x:c r="K1741" s="8" t="str">
        <x:f>IF(A1741="","",DATE(YEAR(A1741),MONTH(A1741),1))</x:f>
      </x:c>
    </x:row>
    <x:row r="1742">
      <x:c r="A1742" s="9"/>
      <x:c r="B1742" s="7"/>
      <x:c r="C1742" s="7" t="str">
        <x:f>IF(B1742="","",XLOOKUP(B1742,Employees!$A$4:$A$53,Employees!$B$4:$B$53,""))</x:f>
      </x:c>
      <x:c r="D1742" s="7"/>
      <x:c r="E1742" s="10" t="n">
        <x:v>8</x:v>
      </x:c>
      <x:c r="F1742" s="10"/>
      <x:c r="G1742" s="10" t="str">
        <x:f>IF(F1742="","",MIN(F1742,E1742))</x:f>
      </x:c>
      <x:c r="H1742" s="10" t="str">
        <x:f>IF(F1742="","",MAX(0,F1742-E1742))</x:f>
      </x:c>
      <x:c r="I1742" s="24"/>
      <x:c r="J1742" s="7"/>
      <x:c r="K1742" s="8" t="str">
        <x:f>IF(A1742="","",DATE(YEAR(A1742),MONTH(A1742),1))</x:f>
      </x:c>
    </x:row>
    <x:row r="1743">
      <x:c r="A1743" s="9"/>
      <x:c r="B1743" s="7"/>
      <x:c r="C1743" s="7" t="str">
        <x:f>IF(B1743="","",XLOOKUP(B1743,Employees!$A$4:$A$53,Employees!$B$4:$B$53,""))</x:f>
      </x:c>
      <x:c r="D1743" s="7"/>
      <x:c r="E1743" s="10" t="n">
        <x:v>8</x:v>
      </x:c>
      <x:c r="F1743" s="10"/>
      <x:c r="G1743" s="10" t="str">
        <x:f>IF(F1743="","",MIN(F1743,E1743))</x:f>
      </x:c>
      <x:c r="H1743" s="10" t="str">
        <x:f>IF(F1743="","",MAX(0,F1743-E1743))</x:f>
      </x:c>
      <x:c r="I1743" s="24"/>
      <x:c r="J1743" s="7"/>
      <x:c r="K1743" s="8" t="str">
        <x:f>IF(A1743="","",DATE(YEAR(A1743),MONTH(A1743),1))</x:f>
      </x:c>
    </x:row>
    <x:row r="1744">
      <x:c r="A1744" s="9"/>
      <x:c r="B1744" s="7"/>
      <x:c r="C1744" s="7" t="str">
        <x:f>IF(B1744="","",XLOOKUP(B1744,Employees!$A$4:$A$53,Employees!$B$4:$B$53,""))</x:f>
      </x:c>
      <x:c r="D1744" s="7"/>
      <x:c r="E1744" s="10" t="n">
        <x:v>8</x:v>
      </x:c>
      <x:c r="F1744" s="10"/>
      <x:c r="G1744" s="10" t="str">
        <x:f>IF(F1744="","",MIN(F1744,E1744))</x:f>
      </x:c>
      <x:c r="H1744" s="10" t="str">
        <x:f>IF(F1744="","",MAX(0,F1744-E1744))</x:f>
      </x:c>
      <x:c r="I1744" s="24"/>
      <x:c r="J1744" s="7"/>
      <x:c r="K1744" s="8" t="str">
        <x:f>IF(A1744="","",DATE(YEAR(A1744),MONTH(A1744),1))</x:f>
      </x:c>
    </x:row>
    <x:row r="1745">
      <x:c r="A1745" s="9"/>
      <x:c r="B1745" s="7"/>
      <x:c r="C1745" s="7" t="str">
        <x:f>IF(B1745="","",XLOOKUP(B1745,Employees!$A$4:$A$53,Employees!$B$4:$B$53,""))</x:f>
      </x:c>
      <x:c r="D1745" s="7"/>
      <x:c r="E1745" s="10" t="n">
        <x:v>8</x:v>
      </x:c>
      <x:c r="F1745" s="10"/>
      <x:c r="G1745" s="10" t="str">
        <x:f>IF(F1745="","",MIN(F1745,E1745))</x:f>
      </x:c>
      <x:c r="H1745" s="10" t="str">
        <x:f>IF(F1745="","",MAX(0,F1745-E1745))</x:f>
      </x:c>
      <x:c r="I1745" s="24"/>
      <x:c r="J1745" s="7"/>
      <x:c r="K1745" s="8" t="str">
        <x:f>IF(A1745="","",DATE(YEAR(A1745),MONTH(A1745),1))</x:f>
      </x:c>
    </x:row>
    <x:row r="1746">
      <x:c r="A1746" s="9"/>
      <x:c r="B1746" s="7"/>
      <x:c r="C1746" s="7" t="str">
        <x:f>IF(B1746="","",XLOOKUP(B1746,Employees!$A$4:$A$53,Employees!$B$4:$B$53,""))</x:f>
      </x:c>
      <x:c r="D1746" s="7"/>
      <x:c r="E1746" s="10" t="n">
        <x:v>8</x:v>
      </x:c>
      <x:c r="F1746" s="10"/>
      <x:c r="G1746" s="10" t="str">
        <x:f>IF(F1746="","",MIN(F1746,E1746))</x:f>
      </x:c>
      <x:c r="H1746" s="10" t="str">
        <x:f>IF(F1746="","",MAX(0,F1746-E1746))</x:f>
      </x:c>
      <x:c r="I1746" s="24"/>
      <x:c r="J1746" s="7"/>
      <x:c r="K1746" s="8" t="str">
        <x:f>IF(A1746="","",DATE(YEAR(A1746),MONTH(A1746),1))</x:f>
      </x:c>
    </x:row>
    <x:row r="1747">
      <x:c r="A1747" s="9"/>
      <x:c r="B1747" s="7"/>
      <x:c r="C1747" s="7" t="str">
        <x:f>IF(B1747="","",XLOOKUP(B1747,Employees!$A$4:$A$53,Employees!$B$4:$B$53,""))</x:f>
      </x:c>
      <x:c r="D1747" s="7"/>
      <x:c r="E1747" s="10" t="n">
        <x:v>8</x:v>
      </x:c>
      <x:c r="F1747" s="10"/>
      <x:c r="G1747" s="10" t="str">
        <x:f>IF(F1747="","",MIN(F1747,E1747))</x:f>
      </x:c>
      <x:c r="H1747" s="10" t="str">
        <x:f>IF(F1747="","",MAX(0,F1747-E1747))</x:f>
      </x:c>
      <x:c r="I1747" s="24"/>
      <x:c r="J1747" s="7"/>
      <x:c r="K1747" s="8" t="str">
        <x:f>IF(A1747="","",DATE(YEAR(A1747),MONTH(A1747),1))</x:f>
      </x:c>
    </x:row>
    <x:row r="1748">
      <x:c r="A1748" s="9"/>
      <x:c r="B1748" s="7"/>
      <x:c r="C1748" s="7" t="str">
        <x:f>IF(B1748="","",XLOOKUP(B1748,Employees!$A$4:$A$53,Employees!$B$4:$B$53,""))</x:f>
      </x:c>
      <x:c r="D1748" s="7"/>
      <x:c r="E1748" s="10" t="n">
        <x:v>8</x:v>
      </x:c>
      <x:c r="F1748" s="10"/>
      <x:c r="G1748" s="10" t="str">
        <x:f>IF(F1748="","",MIN(F1748,E1748))</x:f>
      </x:c>
      <x:c r="H1748" s="10" t="str">
        <x:f>IF(F1748="","",MAX(0,F1748-E1748))</x:f>
      </x:c>
      <x:c r="I1748" s="24"/>
      <x:c r="J1748" s="7"/>
      <x:c r="K1748" s="8" t="str">
        <x:f>IF(A1748="","",DATE(YEAR(A1748),MONTH(A1748),1))</x:f>
      </x:c>
    </x:row>
    <x:row r="1749">
      <x:c r="A1749" s="9"/>
      <x:c r="B1749" s="7"/>
      <x:c r="C1749" s="7" t="str">
        <x:f>IF(B1749="","",XLOOKUP(B1749,Employees!$A$4:$A$53,Employees!$B$4:$B$53,""))</x:f>
      </x:c>
      <x:c r="D1749" s="7"/>
      <x:c r="E1749" s="10" t="n">
        <x:v>8</x:v>
      </x:c>
      <x:c r="F1749" s="10"/>
      <x:c r="G1749" s="10" t="str">
        <x:f>IF(F1749="","",MIN(F1749,E1749))</x:f>
      </x:c>
      <x:c r="H1749" s="10" t="str">
        <x:f>IF(F1749="","",MAX(0,F1749-E1749))</x:f>
      </x:c>
      <x:c r="I1749" s="24"/>
      <x:c r="J1749" s="7"/>
      <x:c r="K1749" s="8" t="str">
        <x:f>IF(A1749="","",DATE(YEAR(A1749),MONTH(A1749),1))</x:f>
      </x:c>
    </x:row>
    <x:row r="1750">
      <x:c r="A1750" s="9"/>
      <x:c r="B1750" s="7"/>
      <x:c r="C1750" s="7" t="str">
        <x:f>IF(B1750="","",XLOOKUP(B1750,Employees!$A$4:$A$53,Employees!$B$4:$B$53,""))</x:f>
      </x:c>
      <x:c r="D1750" s="7"/>
      <x:c r="E1750" s="10" t="n">
        <x:v>8</x:v>
      </x:c>
      <x:c r="F1750" s="10"/>
      <x:c r="G1750" s="10" t="str">
        <x:f>IF(F1750="","",MIN(F1750,E1750))</x:f>
      </x:c>
      <x:c r="H1750" s="10" t="str">
        <x:f>IF(F1750="","",MAX(0,F1750-E1750))</x:f>
      </x:c>
      <x:c r="I1750" s="24"/>
      <x:c r="J1750" s="7"/>
      <x:c r="K1750" s="8" t="str">
        <x:f>IF(A1750="","",DATE(YEAR(A1750),MONTH(A1750),1))</x:f>
      </x:c>
    </x:row>
    <x:row r="1751">
      <x:c r="A1751" s="9"/>
      <x:c r="B1751" s="7"/>
      <x:c r="C1751" s="7" t="str">
        <x:f>IF(B1751="","",XLOOKUP(B1751,Employees!$A$4:$A$53,Employees!$B$4:$B$53,""))</x:f>
      </x:c>
      <x:c r="D1751" s="7"/>
      <x:c r="E1751" s="10" t="n">
        <x:v>8</x:v>
      </x:c>
      <x:c r="F1751" s="10"/>
      <x:c r="G1751" s="10" t="str">
        <x:f>IF(F1751="","",MIN(F1751,E1751))</x:f>
      </x:c>
      <x:c r="H1751" s="10" t="str">
        <x:f>IF(F1751="","",MAX(0,F1751-E1751))</x:f>
      </x:c>
      <x:c r="I1751" s="24"/>
      <x:c r="J1751" s="7"/>
      <x:c r="K1751" s="8" t="str">
        <x:f>IF(A1751="","",DATE(YEAR(A1751),MONTH(A1751),1))</x:f>
      </x:c>
    </x:row>
    <x:row r="1752">
      <x:c r="A1752" s="9"/>
      <x:c r="B1752" s="7"/>
      <x:c r="C1752" s="7" t="str">
        <x:f>IF(B1752="","",XLOOKUP(B1752,Employees!$A$4:$A$53,Employees!$B$4:$B$53,""))</x:f>
      </x:c>
      <x:c r="D1752" s="7"/>
      <x:c r="E1752" s="10" t="n">
        <x:v>8</x:v>
      </x:c>
      <x:c r="F1752" s="10"/>
      <x:c r="G1752" s="10" t="str">
        <x:f>IF(F1752="","",MIN(F1752,E1752))</x:f>
      </x:c>
      <x:c r="H1752" s="10" t="str">
        <x:f>IF(F1752="","",MAX(0,F1752-E1752))</x:f>
      </x:c>
      <x:c r="I1752" s="24"/>
      <x:c r="J1752" s="7"/>
      <x:c r="K1752" s="8" t="str">
        <x:f>IF(A1752="","",DATE(YEAR(A1752),MONTH(A1752),1))</x:f>
      </x:c>
    </x:row>
    <x:row r="1753">
      <x:c r="A1753" s="9"/>
      <x:c r="B1753" s="7"/>
      <x:c r="C1753" s="7" t="str">
        <x:f>IF(B1753="","",XLOOKUP(B1753,Employees!$A$4:$A$53,Employees!$B$4:$B$53,""))</x:f>
      </x:c>
      <x:c r="D1753" s="7"/>
      <x:c r="E1753" s="10" t="n">
        <x:v>8</x:v>
      </x:c>
      <x:c r="F1753" s="10"/>
      <x:c r="G1753" s="10" t="str">
        <x:f>IF(F1753="","",MIN(F1753,E1753))</x:f>
      </x:c>
      <x:c r="H1753" s="10" t="str">
        <x:f>IF(F1753="","",MAX(0,F1753-E1753))</x:f>
      </x:c>
      <x:c r="I1753" s="24"/>
      <x:c r="J1753" s="7"/>
      <x:c r="K1753" s="8" t="str">
        <x:f>IF(A1753="","",DATE(YEAR(A1753),MONTH(A1753),1))</x:f>
      </x:c>
    </x:row>
    <x:row r="1754">
      <x:c r="A1754" s="9"/>
      <x:c r="B1754" s="7"/>
      <x:c r="C1754" s="7" t="str">
        <x:f>IF(B1754="","",XLOOKUP(B1754,Employees!$A$4:$A$53,Employees!$B$4:$B$53,""))</x:f>
      </x:c>
      <x:c r="D1754" s="7"/>
      <x:c r="E1754" s="10" t="n">
        <x:v>8</x:v>
      </x:c>
      <x:c r="F1754" s="10"/>
      <x:c r="G1754" s="10" t="str">
        <x:f>IF(F1754="","",MIN(F1754,E1754))</x:f>
      </x:c>
      <x:c r="H1754" s="10" t="str">
        <x:f>IF(F1754="","",MAX(0,F1754-E1754))</x:f>
      </x:c>
      <x:c r="I1754" s="24"/>
      <x:c r="J1754" s="7"/>
      <x:c r="K1754" s="8" t="str">
        <x:f>IF(A1754="","",DATE(YEAR(A1754),MONTH(A1754),1))</x:f>
      </x:c>
    </x:row>
    <x:row r="1755">
      <x:c r="A1755" s="9"/>
      <x:c r="B1755" s="7"/>
      <x:c r="C1755" s="7" t="str">
        <x:f>IF(B1755="","",XLOOKUP(B1755,Employees!$A$4:$A$53,Employees!$B$4:$B$53,""))</x:f>
      </x:c>
      <x:c r="D1755" s="7"/>
      <x:c r="E1755" s="10" t="n">
        <x:v>8</x:v>
      </x:c>
      <x:c r="F1755" s="10"/>
      <x:c r="G1755" s="10" t="str">
        <x:f>IF(F1755="","",MIN(F1755,E1755))</x:f>
      </x:c>
      <x:c r="H1755" s="10" t="str">
        <x:f>IF(F1755="","",MAX(0,F1755-E1755))</x:f>
      </x:c>
      <x:c r="I1755" s="24"/>
      <x:c r="J1755" s="7"/>
      <x:c r="K1755" s="8" t="str">
        <x:f>IF(A1755="","",DATE(YEAR(A1755),MONTH(A1755),1))</x:f>
      </x:c>
    </x:row>
    <x:row r="1756">
      <x:c r="A1756" s="9"/>
      <x:c r="B1756" s="7"/>
      <x:c r="C1756" s="7" t="str">
        <x:f>IF(B1756="","",XLOOKUP(B1756,Employees!$A$4:$A$53,Employees!$B$4:$B$53,""))</x:f>
      </x:c>
      <x:c r="D1756" s="7"/>
      <x:c r="E1756" s="10" t="n">
        <x:v>8</x:v>
      </x:c>
      <x:c r="F1756" s="10"/>
      <x:c r="G1756" s="10" t="str">
        <x:f>IF(F1756="","",MIN(F1756,E1756))</x:f>
      </x:c>
      <x:c r="H1756" s="10" t="str">
        <x:f>IF(F1756="","",MAX(0,F1756-E1756))</x:f>
      </x:c>
      <x:c r="I1756" s="24"/>
      <x:c r="J1756" s="7"/>
      <x:c r="K1756" s="8" t="str">
        <x:f>IF(A1756="","",DATE(YEAR(A1756),MONTH(A1756),1))</x:f>
      </x:c>
    </x:row>
    <x:row r="1757">
      <x:c r="A1757" s="9"/>
      <x:c r="B1757" s="7"/>
      <x:c r="C1757" s="7" t="str">
        <x:f>IF(B1757="","",XLOOKUP(B1757,Employees!$A$4:$A$53,Employees!$B$4:$B$53,""))</x:f>
      </x:c>
      <x:c r="D1757" s="7"/>
      <x:c r="E1757" s="10" t="n">
        <x:v>8</x:v>
      </x:c>
      <x:c r="F1757" s="10"/>
      <x:c r="G1757" s="10" t="str">
        <x:f>IF(F1757="","",MIN(F1757,E1757))</x:f>
      </x:c>
      <x:c r="H1757" s="10" t="str">
        <x:f>IF(F1757="","",MAX(0,F1757-E1757))</x:f>
      </x:c>
      <x:c r="I1757" s="24"/>
      <x:c r="J1757" s="7"/>
      <x:c r="K1757" s="8" t="str">
        <x:f>IF(A1757="","",DATE(YEAR(A1757),MONTH(A1757),1))</x:f>
      </x:c>
    </x:row>
    <x:row r="1758">
      <x:c r="A1758" s="9"/>
      <x:c r="B1758" s="7"/>
      <x:c r="C1758" s="7" t="str">
        <x:f>IF(B1758="","",XLOOKUP(B1758,Employees!$A$4:$A$53,Employees!$B$4:$B$53,""))</x:f>
      </x:c>
      <x:c r="D1758" s="7"/>
      <x:c r="E1758" s="10" t="n">
        <x:v>8</x:v>
      </x:c>
      <x:c r="F1758" s="10"/>
      <x:c r="G1758" s="10" t="str">
        <x:f>IF(F1758="","",MIN(F1758,E1758))</x:f>
      </x:c>
      <x:c r="H1758" s="10" t="str">
        <x:f>IF(F1758="","",MAX(0,F1758-E1758))</x:f>
      </x:c>
      <x:c r="I1758" s="24"/>
      <x:c r="J1758" s="7"/>
      <x:c r="K1758" s="8" t="str">
        <x:f>IF(A1758="","",DATE(YEAR(A1758),MONTH(A1758),1))</x:f>
      </x:c>
    </x:row>
    <x:row r="1759">
      <x:c r="A1759" s="9"/>
      <x:c r="B1759" s="7"/>
      <x:c r="C1759" s="7" t="str">
        <x:f>IF(B1759="","",XLOOKUP(B1759,Employees!$A$4:$A$53,Employees!$B$4:$B$53,""))</x:f>
      </x:c>
      <x:c r="D1759" s="7"/>
      <x:c r="E1759" s="10" t="n">
        <x:v>8</x:v>
      </x:c>
      <x:c r="F1759" s="10"/>
      <x:c r="G1759" s="10" t="str">
        <x:f>IF(F1759="","",MIN(F1759,E1759))</x:f>
      </x:c>
      <x:c r="H1759" s="10" t="str">
        <x:f>IF(F1759="","",MAX(0,F1759-E1759))</x:f>
      </x:c>
      <x:c r="I1759" s="24"/>
      <x:c r="J1759" s="7"/>
      <x:c r="K1759" s="8" t="str">
        <x:f>IF(A1759="","",DATE(YEAR(A1759),MONTH(A1759),1))</x:f>
      </x:c>
    </x:row>
    <x:row r="1760">
      <x:c r="A1760" s="9"/>
      <x:c r="B1760" s="7"/>
      <x:c r="C1760" s="7" t="str">
        <x:f>IF(B1760="","",XLOOKUP(B1760,Employees!$A$4:$A$53,Employees!$B$4:$B$53,""))</x:f>
      </x:c>
      <x:c r="D1760" s="7"/>
      <x:c r="E1760" s="10" t="n">
        <x:v>8</x:v>
      </x:c>
      <x:c r="F1760" s="10"/>
      <x:c r="G1760" s="10" t="str">
        <x:f>IF(F1760="","",MIN(F1760,E1760))</x:f>
      </x:c>
      <x:c r="H1760" s="10" t="str">
        <x:f>IF(F1760="","",MAX(0,F1760-E1760))</x:f>
      </x:c>
      <x:c r="I1760" s="24"/>
      <x:c r="J1760" s="7"/>
      <x:c r="K1760" s="8" t="str">
        <x:f>IF(A1760="","",DATE(YEAR(A1760),MONTH(A1760),1))</x:f>
      </x:c>
    </x:row>
    <x:row r="1761">
      <x:c r="A1761" s="9"/>
      <x:c r="B1761" s="7"/>
      <x:c r="C1761" s="7" t="str">
        <x:f>IF(B1761="","",XLOOKUP(B1761,Employees!$A$4:$A$53,Employees!$B$4:$B$53,""))</x:f>
      </x:c>
      <x:c r="D1761" s="7"/>
      <x:c r="E1761" s="10" t="n">
        <x:v>8</x:v>
      </x:c>
      <x:c r="F1761" s="10"/>
      <x:c r="G1761" s="10" t="str">
        <x:f>IF(F1761="","",MIN(F1761,E1761))</x:f>
      </x:c>
      <x:c r="H1761" s="10" t="str">
        <x:f>IF(F1761="","",MAX(0,F1761-E1761))</x:f>
      </x:c>
      <x:c r="I1761" s="24"/>
      <x:c r="J1761" s="7"/>
      <x:c r="K1761" s="8" t="str">
        <x:f>IF(A1761="","",DATE(YEAR(A1761),MONTH(A1761),1))</x:f>
      </x:c>
    </x:row>
    <x:row r="1762">
      <x:c r="A1762" s="9"/>
      <x:c r="B1762" s="7"/>
      <x:c r="C1762" s="7" t="str">
        <x:f>IF(B1762="","",XLOOKUP(B1762,Employees!$A$4:$A$53,Employees!$B$4:$B$53,""))</x:f>
      </x:c>
      <x:c r="D1762" s="7"/>
      <x:c r="E1762" s="10" t="n">
        <x:v>8</x:v>
      </x:c>
      <x:c r="F1762" s="10"/>
      <x:c r="G1762" s="10" t="str">
        <x:f>IF(F1762="","",MIN(F1762,E1762))</x:f>
      </x:c>
      <x:c r="H1762" s="10" t="str">
        <x:f>IF(F1762="","",MAX(0,F1762-E1762))</x:f>
      </x:c>
      <x:c r="I1762" s="24"/>
      <x:c r="J1762" s="7"/>
      <x:c r="K1762" s="8" t="str">
        <x:f>IF(A1762="","",DATE(YEAR(A1762),MONTH(A1762),1))</x:f>
      </x:c>
    </x:row>
    <x:row r="1763">
      <x:c r="A1763" s="9"/>
      <x:c r="B1763" s="7"/>
      <x:c r="C1763" s="7" t="str">
        <x:f>IF(B1763="","",XLOOKUP(B1763,Employees!$A$4:$A$53,Employees!$B$4:$B$53,""))</x:f>
      </x:c>
      <x:c r="D1763" s="7"/>
      <x:c r="E1763" s="10" t="n">
        <x:v>8</x:v>
      </x:c>
      <x:c r="F1763" s="10"/>
      <x:c r="G1763" s="10" t="str">
        <x:f>IF(F1763="","",MIN(F1763,E1763))</x:f>
      </x:c>
      <x:c r="H1763" s="10" t="str">
        <x:f>IF(F1763="","",MAX(0,F1763-E1763))</x:f>
      </x:c>
      <x:c r="I1763" s="24"/>
      <x:c r="J1763" s="7"/>
      <x:c r="K1763" s="8" t="str">
        <x:f>IF(A1763="","",DATE(YEAR(A1763),MONTH(A1763),1))</x:f>
      </x:c>
    </x:row>
    <x:row r="1764">
      <x:c r="A1764" s="9"/>
      <x:c r="B1764" s="7"/>
      <x:c r="C1764" s="7" t="str">
        <x:f>IF(B1764="","",XLOOKUP(B1764,Employees!$A$4:$A$53,Employees!$B$4:$B$53,""))</x:f>
      </x:c>
      <x:c r="D1764" s="7"/>
      <x:c r="E1764" s="10" t="n">
        <x:v>8</x:v>
      </x:c>
      <x:c r="F1764" s="10"/>
      <x:c r="G1764" s="10" t="str">
        <x:f>IF(F1764="","",MIN(F1764,E1764))</x:f>
      </x:c>
      <x:c r="H1764" s="10" t="str">
        <x:f>IF(F1764="","",MAX(0,F1764-E1764))</x:f>
      </x:c>
      <x:c r="I1764" s="24"/>
      <x:c r="J1764" s="7"/>
      <x:c r="K1764" s="8" t="str">
        <x:f>IF(A1764="","",DATE(YEAR(A1764),MONTH(A1764),1))</x:f>
      </x:c>
    </x:row>
    <x:row r="1765">
      <x:c r="A1765" s="9"/>
      <x:c r="B1765" s="7"/>
      <x:c r="C1765" s="7" t="str">
        <x:f>IF(B1765="","",XLOOKUP(B1765,Employees!$A$4:$A$53,Employees!$B$4:$B$53,""))</x:f>
      </x:c>
      <x:c r="D1765" s="7"/>
      <x:c r="E1765" s="10" t="n">
        <x:v>8</x:v>
      </x:c>
      <x:c r="F1765" s="10"/>
      <x:c r="G1765" s="10" t="str">
        <x:f>IF(F1765="","",MIN(F1765,E1765))</x:f>
      </x:c>
      <x:c r="H1765" s="10" t="str">
        <x:f>IF(F1765="","",MAX(0,F1765-E1765))</x:f>
      </x:c>
      <x:c r="I1765" s="24"/>
      <x:c r="J1765" s="7"/>
      <x:c r="K1765" s="8" t="str">
        <x:f>IF(A1765="","",DATE(YEAR(A1765),MONTH(A1765),1))</x:f>
      </x:c>
    </x:row>
    <x:row r="1766">
      <x:c r="A1766" s="9"/>
      <x:c r="B1766" s="7"/>
      <x:c r="C1766" s="7" t="str">
        <x:f>IF(B1766="","",XLOOKUP(B1766,Employees!$A$4:$A$53,Employees!$B$4:$B$53,""))</x:f>
      </x:c>
      <x:c r="D1766" s="7"/>
      <x:c r="E1766" s="10" t="n">
        <x:v>8</x:v>
      </x:c>
      <x:c r="F1766" s="10"/>
      <x:c r="G1766" s="10" t="str">
        <x:f>IF(F1766="","",MIN(F1766,E1766))</x:f>
      </x:c>
      <x:c r="H1766" s="10" t="str">
        <x:f>IF(F1766="","",MAX(0,F1766-E1766))</x:f>
      </x:c>
      <x:c r="I1766" s="24"/>
      <x:c r="J1766" s="7"/>
      <x:c r="K1766" s="8" t="str">
        <x:f>IF(A1766="","",DATE(YEAR(A1766),MONTH(A1766),1))</x:f>
      </x:c>
    </x:row>
    <x:row r="1767">
      <x:c r="A1767" s="9"/>
      <x:c r="B1767" s="7"/>
      <x:c r="C1767" s="7" t="str">
        <x:f>IF(B1767="","",XLOOKUP(B1767,Employees!$A$4:$A$53,Employees!$B$4:$B$53,""))</x:f>
      </x:c>
      <x:c r="D1767" s="7"/>
      <x:c r="E1767" s="10" t="n">
        <x:v>8</x:v>
      </x:c>
      <x:c r="F1767" s="10"/>
      <x:c r="G1767" s="10" t="str">
        <x:f>IF(F1767="","",MIN(F1767,E1767))</x:f>
      </x:c>
      <x:c r="H1767" s="10" t="str">
        <x:f>IF(F1767="","",MAX(0,F1767-E1767))</x:f>
      </x:c>
      <x:c r="I1767" s="24"/>
      <x:c r="J1767" s="7"/>
      <x:c r="K1767" s="8" t="str">
        <x:f>IF(A1767="","",DATE(YEAR(A1767),MONTH(A1767),1))</x:f>
      </x:c>
    </x:row>
    <x:row r="1768">
      <x:c r="A1768" s="9"/>
      <x:c r="B1768" s="7"/>
      <x:c r="C1768" s="7" t="str">
        <x:f>IF(B1768="","",XLOOKUP(B1768,Employees!$A$4:$A$53,Employees!$B$4:$B$53,""))</x:f>
      </x:c>
      <x:c r="D1768" s="7"/>
      <x:c r="E1768" s="10" t="n">
        <x:v>8</x:v>
      </x:c>
      <x:c r="F1768" s="10"/>
      <x:c r="G1768" s="10" t="str">
        <x:f>IF(F1768="","",MIN(F1768,E1768))</x:f>
      </x:c>
      <x:c r="H1768" s="10" t="str">
        <x:f>IF(F1768="","",MAX(0,F1768-E1768))</x:f>
      </x:c>
      <x:c r="I1768" s="24"/>
      <x:c r="J1768" s="7"/>
      <x:c r="K1768" s="8" t="str">
        <x:f>IF(A1768="","",DATE(YEAR(A1768),MONTH(A1768),1))</x:f>
      </x:c>
    </x:row>
    <x:row r="1769">
      <x:c r="A1769" s="9"/>
      <x:c r="B1769" s="7"/>
      <x:c r="C1769" s="7" t="str">
        <x:f>IF(B1769="","",XLOOKUP(B1769,Employees!$A$4:$A$53,Employees!$B$4:$B$53,""))</x:f>
      </x:c>
      <x:c r="D1769" s="7"/>
      <x:c r="E1769" s="10" t="n">
        <x:v>8</x:v>
      </x:c>
      <x:c r="F1769" s="10"/>
      <x:c r="G1769" s="10" t="str">
        <x:f>IF(F1769="","",MIN(F1769,E1769))</x:f>
      </x:c>
      <x:c r="H1769" s="10" t="str">
        <x:f>IF(F1769="","",MAX(0,F1769-E1769))</x:f>
      </x:c>
      <x:c r="I1769" s="24"/>
      <x:c r="J1769" s="7"/>
      <x:c r="K1769" s="8" t="str">
        <x:f>IF(A1769="","",DATE(YEAR(A1769),MONTH(A1769),1))</x:f>
      </x:c>
    </x:row>
    <x:row r="1770">
      <x:c r="A1770" s="9"/>
      <x:c r="B1770" s="7"/>
      <x:c r="C1770" s="7" t="str">
        <x:f>IF(B1770="","",XLOOKUP(B1770,Employees!$A$4:$A$53,Employees!$B$4:$B$53,""))</x:f>
      </x:c>
      <x:c r="D1770" s="7"/>
      <x:c r="E1770" s="10" t="n">
        <x:v>8</x:v>
      </x:c>
      <x:c r="F1770" s="10"/>
      <x:c r="G1770" s="10" t="str">
        <x:f>IF(F1770="","",MIN(F1770,E1770))</x:f>
      </x:c>
      <x:c r="H1770" s="10" t="str">
        <x:f>IF(F1770="","",MAX(0,F1770-E1770))</x:f>
      </x:c>
      <x:c r="I1770" s="24"/>
      <x:c r="J1770" s="7"/>
      <x:c r="K1770" s="8" t="str">
        <x:f>IF(A1770="","",DATE(YEAR(A1770),MONTH(A1770),1))</x:f>
      </x:c>
    </x:row>
    <x:row r="1771">
      <x:c r="A1771" s="9"/>
      <x:c r="B1771" s="7"/>
      <x:c r="C1771" s="7" t="str">
        <x:f>IF(B1771="","",XLOOKUP(B1771,Employees!$A$4:$A$53,Employees!$B$4:$B$53,""))</x:f>
      </x:c>
      <x:c r="D1771" s="7"/>
      <x:c r="E1771" s="10" t="n">
        <x:v>8</x:v>
      </x:c>
      <x:c r="F1771" s="10"/>
      <x:c r="G1771" s="10" t="str">
        <x:f>IF(F1771="","",MIN(F1771,E1771))</x:f>
      </x:c>
      <x:c r="H1771" s="10" t="str">
        <x:f>IF(F1771="","",MAX(0,F1771-E1771))</x:f>
      </x:c>
      <x:c r="I1771" s="24"/>
      <x:c r="J1771" s="7"/>
      <x:c r="K1771" s="8" t="str">
        <x:f>IF(A1771="","",DATE(YEAR(A1771),MONTH(A1771),1))</x:f>
      </x:c>
    </x:row>
    <x:row r="1772">
      <x:c r="A1772" s="9"/>
      <x:c r="B1772" s="7"/>
      <x:c r="C1772" s="7" t="str">
        <x:f>IF(B1772="","",XLOOKUP(B1772,Employees!$A$4:$A$53,Employees!$B$4:$B$53,""))</x:f>
      </x:c>
      <x:c r="D1772" s="7"/>
      <x:c r="E1772" s="10" t="n">
        <x:v>8</x:v>
      </x:c>
      <x:c r="F1772" s="10"/>
      <x:c r="G1772" s="10" t="str">
        <x:f>IF(F1772="","",MIN(F1772,E1772))</x:f>
      </x:c>
      <x:c r="H1772" s="10" t="str">
        <x:f>IF(F1772="","",MAX(0,F1772-E1772))</x:f>
      </x:c>
      <x:c r="I1772" s="24"/>
      <x:c r="J1772" s="7"/>
      <x:c r="K1772" s="8" t="str">
        <x:f>IF(A1772="","",DATE(YEAR(A1772),MONTH(A1772),1))</x:f>
      </x:c>
    </x:row>
    <x:row r="1773">
      <x:c r="A1773" s="9"/>
      <x:c r="B1773" s="7"/>
      <x:c r="C1773" s="7" t="str">
        <x:f>IF(B1773="","",XLOOKUP(B1773,Employees!$A$4:$A$53,Employees!$B$4:$B$53,""))</x:f>
      </x:c>
      <x:c r="D1773" s="7"/>
      <x:c r="E1773" s="10" t="n">
        <x:v>8</x:v>
      </x:c>
      <x:c r="F1773" s="10"/>
      <x:c r="G1773" s="10" t="str">
        <x:f>IF(F1773="","",MIN(F1773,E1773))</x:f>
      </x:c>
      <x:c r="H1773" s="10" t="str">
        <x:f>IF(F1773="","",MAX(0,F1773-E1773))</x:f>
      </x:c>
      <x:c r="I1773" s="24"/>
      <x:c r="J1773" s="7"/>
      <x:c r="K1773" s="8" t="str">
        <x:f>IF(A1773="","",DATE(YEAR(A1773),MONTH(A1773),1))</x:f>
      </x:c>
    </x:row>
    <x:row r="1774">
      <x:c r="A1774" s="9"/>
      <x:c r="B1774" s="7"/>
      <x:c r="C1774" s="7" t="str">
        <x:f>IF(B1774="","",XLOOKUP(B1774,Employees!$A$4:$A$53,Employees!$B$4:$B$53,""))</x:f>
      </x:c>
      <x:c r="D1774" s="7"/>
      <x:c r="E1774" s="10" t="n">
        <x:v>8</x:v>
      </x:c>
      <x:c r="F1774" s="10"/>
      <x:c r="G1774" s="10" t="str">
        <x:f>IF(F1774="","",MIN(F1774,E1774))</x:f>
      </x:c>
      <x:c r="H1774" s="10" t="str">
        <x:f>IF(F1774="","",MAX(0,F1774-E1774))</x:f>
      </x:c>
      <x:c r="I1774" s="24"/>
      <x:c r="J1774" s="7"/>
      <x:c r="K1774" s="8" t="str">
        <x:f>IF(A1774="","",DATE(YEAR(A1774),MONTH(A1774),1))</x:f>
      </x:c>
    </x:row>
    <x:row r="1775">
      <x:c r="A1775" s="9"/>
      <x:c r="B1775" s="7"/>
      <x:c r="C1775" s="7" t="str">
        <x:f>IF(B1775="","",XLOOKUP(B1775,Employees!$A$4:$A$53,Employees!$B$4:$B$53,""))</x:f>
      </x:c>
      <x:c r="D1775" s="7"/>
      <x:c r="E1775" s="10" t="n">
        <x:v>8</x:v>
      </x:c>
      <x:c r="F1775" s="10"/>
      <x:c r="G1775" s="10" t="str">
        <x:f>IF(F1775="","",MIN(F1775,E1775))</x:f>
      </x:c>
      <x:c r="H1775" s="10" t="str">
        <x:f>IF(F1775="","",MAX(0,F1775-E1775))</x:f>
      </x:c>
      <x:c r="I1775" s="24"/>
      <x:c r="J1775" s="7"/>
      <x:c r="K1775" s="8" t="str">
        <x:f>IF(A1775="","",DATE(YEAR(A1775),MONTH(A1775),1))</x:f>
      </x:c>
    </x:row>
    <x:row r="1776">
      <x:c r="A1776" s="9"/>
      <x:c r="B1776" s="7"/>
      <x:c r="C1776" s="7" t="str">
        <x:f>IF(B1776="","",XLOOKUP(B1776,Employees!$A$4:$A$53,Employees!$B$4:$B$53,""))</x:f>
      </x:c>
      <x:c r="D1776" s="7"/>
      <x:c r="E1776" s="10" t="n">
        <x:v>8</x:v>
      </x:c>
      <x:c r="F1776" s="10"/>
      <x:c r="G1776" s="10" t="str">
        <x:f>IF(F1776="","",MIN(F1776,E1776))</x:f>
      </x:c>
      <x:c r="H1776" s="10" t="str">
        <x:f>IF(F1776="","",MAX(0,F1776-E1776))</x:f>
      </x:c>
      <x:c r="I1776" s="24"/>
      <x:c r="J1776" s="7"/>
      <x:c r="K1776" s="8" t="str">
        <x:f>IF(A1776="","",DATE(YEAR(A1776),MONTH(A1776),1))</x:f>
      </x:c>
    </x:row>
    <x:row r="1777">
      <x:c r="A1777" s="9"/>
      <x:c r="B1777" s="7"/>
      <x:c r="C1777" s="7" t="str">
        <x:f>IF(B1777="","",XLOOKUP(B1777,Employees!$A$4:$A$53,Employees!$B$4:$B$53,""))</x:f>
      </x:c>
      <x:c r="D1777" s="7"/>
      <x:c r="E1777" s="10" t="n">
        <x:v>8</x:v>
      </x:c>
      <x:c r="F1777" s="10"/>
      <x:c r="G1777" s="10" t="str">
        <x:f>IF(F1777="","",MIN(F1777,E1777))</x:f>
      </x:c>
      <x:c r="H1777" s="10" t="str">
        <x:f>IF(F1777="","",MAX(0,F1777-E1777))</x:f>
      </x:c>
      <x:c r="I1777" s="24"/>
      <x:c r="J1777" s="7"/>
      <x:c r="K1777" s="8" t="str">
        <x:f>IF(A1777="","",DATE(YEAR(A1777),MONTH(A1777),1))</x:f>
      </x:c>
    </x:row>
    <x:row r="1778">
      <x:c r="A1778" s="9"/>
      <x:c r="B1778" s="7"/>
      <x:c r="C1778" s="7" t="str">
        <x:f>IF(B1778="","",XLOOKUP(B1778,Employees!$A$4:$A$53,Employees!$B$4:$B$53,""))</x:f>
      </x:c>
      <x:c r="D1778" s="7"/>
      <x:c r="E1778" s="10" t="n">
        <x:v>8</x:v>
      </x:c>
      <x:c r="F1778" s="10"/>
      <x:c r="G1778" s="10" t="str">
        <x:f>IF(F1778="","",MIN(F1778,E1778))</x:f>
      </x:c>
      <x:c r="H1778" s="10" t="str">
        <x:f>IF(F1778="","",MAX(0,F1778-E1778))</x:f>
      </x:c>
      <x:c r="I1778" s="24"/>
      <x:c r="J1778" s="7"/>
      <x:c r="K1778" s="8" t="str">
        <x:f>IF(A1778="","",DATE(YEAR(A1778),MONTH(A1778),1))</x:f>
      </x:c>
    </x:row>
    <x:row r="1779">
      <x:c r="A1779" s="9"/>
      <x:c r="B1779" s="7"/>
      <x:c r="C1779" s="7" t="str">
        <x:f>IF(B1779="","",XLOOKUP(B1779,Employees!$A$4:$A$53,Employees!$B$4:$B$53,""))</x:f>
      </x:c>
      <x:c r="D1779" s="7"/>
      <x:c r="E1779" s="10" t="n">
        <x:v>8</x:v>
      </x:c>
      <x:c r="F1779" s="10"/>
      <x:c r="G1779" s="10" t="str">
        <x:f>IF(F1779="","",MIN(F1779,E1779))</x:f>
      </x:c>
      <x:c r="H1779" s="10" t="str">
        <x:f>IF(F1779="","",MAX(0,F1779-E1779))</x:f>
      </x:c>
      <x:c r="I1779" s="24"/>
      <x:c r="J1779" s="7"/>
      <x:c r="K1779" s="8" t="str">
        <x:f>IF(A1779="","",DATE(YEAR(A1779),MONTH(A1779),1))</x:f>
      </x:c>
    </x:row>
    <x:row r="1780">
      <x:c r="A1780" s="9"/>
      <x:c r="B1780" s="7"/>
      <x:c r="C1780" s="7" t="str">
        <x:f>IF(B1780="","",XLOOKUP(B1780,Employees!$A$4:$A$53,Employees!$B$4:$B$53,""))</x:f>
      </x:c>
      <x:c r="D1780" s="7"/>
      <x:c r="E1780" s="10" t="n">
        <x:v>8</x:v>
      </x:c>
      <x:c r="F1780" s="10"/>
      <x:c r="G1780" s="10" t="str">
        <x:f>IF(F1780="","",MIN(F1780,E1780))</x:f>
      </x:c>
      <x:c r="H1780" s="10" t="str">
        <x:f>IF(F1780="","",MAX(0,F1780-E1780))</x:f>
      </x:c>
      <x:c r="I1780" s="24"/>
      <x:c r="J1780" s="7"/>
      <x:c r="K1780" s="8" t="str">
        <x:f>IF(A1780="","",DATE(YEAR(A1780),MONTH(A1780),1))</x:f>
      </x:c>
    </x:row>
    <x:row r="1781">
      <x:c r="A1781" s="9"/>
      <x:c r="B1781" s="7"/>
      <x:c r="C1781" s="7" t="str">
        <x:f>IF(B1781="","",XLOOKUP(B1781,Employees!$A$4:$A$53,Employees!$B$4:$B$53,""))</x:f>
      </x:c>
      <x:c r="D1781" s="7"/>
      <x:c r="E1781" s="10" t="n">
        <x:v>8</x:v>
      </x:c>
      <x:c r="F1781" s="10"/>
      <x:c r="G1781" s="10" t="str">
        <x:f>IF(F1781="","",MIN(F1781,E1781))</x:f>
      </x:c>
      <x:c r="H1781" s="10" t="str">
        <x:f>IF(F1781="","",MAX(0,F1781-E1781))</x:f>
      </x:c>
      <x:c r="I1781" s="24"/>
      <x:c r="J1781" s="7"/>
      <x:c r="K1781" s="8" t="str">
        <x:f>IF(A1781="","",DATE(YEAR(A1781),MONTH(A1781),1))</x:f>
      </x:c>
    </x:row>
    <x:row r="1782">
      <x:c r="A1782" s="9"/>
      <x:c r="B1782" s="7"/>
      <x:c r="C1782" s="7" t="str">
        <x:f>IF(B1782="","",XLOOKUP(B1782,Employees!$A$4:$A$53,Employees!$B$4:$B$53,""))</x:f>
      </x:c>
      <x:c r="D1782" s="7"/>
      <x:c r="E1782" s="10" t="n">
        <x:v>8</x:v>
      </x:c>
      <x:c r="F1782" s="10"/>
      <x:c r="G1782" s="10" t="str">
        <x:f>IF(F1782="","",MIN(F1782,E1782))</x:f>
      </x:c>
      <x:c r="H1782" s="10" t="str">
        <x:f>IF(F1782="","",MAX(0,F1782-E1782))</x:f>
      </x:c>
      <x:c r="I1782" s="24"/>
      <x:c r="J1782" s="7"/>
      <x:c r="K1782" s="8" t="str">
        <x:f>IF(A1782="","",DATE(YEAR(A1782),MONTH(A1782),1))</x:f>
      </x:c>
    </x:row>
    <x:row r="1783">
      <x:c r="A1783" s="9"/>
      <x:c r="B1783" s="7"/>
      <x:c r="C1783" s="7" t="str">
        <x:f>IF(B1783="","",XLOOKUP(B1783,Employees!$A$4:$A$53,Employees!$B$4:$B$53,""))</x:f>
      </x:c>
      <x:c r="D1783" s="7"/>
      <x:c r="E1783" s="10" t="n">
        <x:v>8</x:v>
      </x:c>
      <x:c r="F1783" s="10"/>
      <x:c r="G1783" s="10" t="str">
        <x:f>IF(F1783="","",MIN(F1783,E1783))</x:f>
      </x:c>
      <x:c r="H1783" s="10" t="str">
        <x:f>IF(F1783="","",MAX(0,F1783-E1783))</x:f>
      </x:c>
      <x:c r="I1783" s="24"/>
      <x:c r="J1783" s="7"/>
      <x:c r="K1783" s="8" t="str">
        <x:f>IF(A1783="","",DATE(YEAR(A1783),MONTH(A1783),1))</x:f>
      </x:c>
    </x:row>
    <x:row r="1784">
      <x:c r="A1784" s="9"/>
      <x:c r="B1784" s="7"/>
      <x:c r="C1784" s="7" t="str">
        <x:f>IF(B1784="","",XLOOKUP(B1784,Employees!$A$4:$A$53,Employees!$B$4:$B$53,""))</x:f>
      </x:c>
      <x:c r="D1784" s="7"/>
      <x:c r="E1784" s="10" t="n">
        <x:v>8</x:v>
      </x:c>
      <x:c r="F1784" s="10"/>
      <x:c r="G1784" s="10" t="str">
        <x:f>IF(F1784="","",MIN(F1784,E1784))</x:f>
      </x:c>
      <x:c r="H1784" s="10" t="str">
        <x:f>IF(F1784="","",MAX(0,F1784-E1784))</x:f>
      </x:c>
      <x:c r="I1784" s="24"/>
      <x:c r="J1784" s="7"/>
      <x:c r="K1784" s="8" t="str">
        <x:f>IF(A1784="","",DATE(YEAR(A1784),MONTH(A1784),1))</x:f>
      </x:c>
    </x:row>
    <x:row r="1785">
      <x:c r="A1785" s="9"/>
      <x:c r="B1785" s="7"/>
      <x:c r="C1785" s="7" t="str">
        <x:f>IF(B1785="","",XLOOKUP(B1785,Employees!$A$4:$A$53,Employees!$B$4:$B$53,""))</x:f>
      </x:c>
      <x:c r="D1785" s="7"/>
      <x:c r="E1785" s="10" t="n">
        <x:v>8</x:v>
      </x:c>
      <x:c r="F1785" s="10"/>
      <x:c r="G1785" s="10" t="str">
        <x:f>IF(F1785="","",MIN(F1785,E1785))</x:f>
      </x:c>
      <x:c r="H1785" s="10" t="str">
        <x:f>IF(F1785="","",MAX(0,F1785-E1785))</x:f>
      </x:c>
      <x:c r="I1785" s="24"/>
      <x:c r="J1785" s="7"/>
      <x:c r="K1785" s="8" t="str">
        <x:f>IF(A1785="","",DATE(YEAR(A1785),MONTH(A1785),1))</x:f>
      </x:c>
    </x:row>
    <x:row r="1786">
      <x:c r="A1786" s="9"/>
      <x:c r="B1786" s="7"/>
      <x:c r="C1786" s="7" t="str">
        <x:f>IF(B1786="","",XLOOKUP(B1786,Employees!$A$4:$A$53,Employees!$B$4:$B$53,""))</x:f>
      </x:c>
      <x:c r="D1786" s="7"/>
      <x:c r="E1786" s="10" t="n">
        <x:v>8</x:v>
      </x:c>
      <x:c r="F1786" s="10"/>
      <x:c r="G1786" s="10" t="str">
        <x:f>IF(F1786="","",MIN(F1786,E1786))</x:f>
      </x:c>
      <x:c r="H1786" s="10" t="str">
        <x:f>IF(F1786="","",MAX(0,F1786-E1786))</x:f>
      </x:c>
      <x:c r="I1786" s="24"/>
      <x:c r="J1786" s="7"/>
      <x:c r="K1786" s="8" t="str">
        <x:f>IF(A1786="","",DATE(YEAR(A1786),MONTH(A1786),1))</x:f>
      </x:c>
    </x:row>
    <x:row r="1787">
      <x:c r="A1787" s="9"/>
      <x:c r="B1787" s="7"/>
      <x:c r="C1787" s="7" t="str">
        <x:f>IF(B1787="","",XLOOKUP(B1787,Employees!$A$4:$A$53,Employees!$B$4:$B$53,""))</x:f>
      </x:c>
      <x:c r="D1787" s="7"/>
      <x:c r="E1787" s="10" t="n">
        <x:v>8</x:v>
      </x:c>
      <x:c r="F1787" s="10"/>
      <x:c r="G1787" s="10" t="str">
        <x:f>IF(F1787="","",MIN(F1787,E1787))</x:f>
      </x:c>
      <x:c r="H1787" s="10" t="str">
        <x:f>IF(F1787="","",MAX(0,F1787-E1787))</x:f>
      </x:c>
      <x:c r="I1787" s="24"/>
      <x:c r="J1787" s="7"/>
      <x:c r="K1787" s="8" t="str">
        <x:f>IF(A1787="","",DATE(YEAR(A1787),MONTH(A1787),1))</x:f>
      </x:c>
    </x:row>
    <x:row r="1788">
      <x:c r="A1788" s="9"/>
      <x:c r="B1788" s="7"/>
      <x:c r="C1788" s="7" t="str">
        <x:f>IF(B1788="","",XLOOKUP(B1788,Employees!$A$4:$A$53,Employees!$B$4:$B$53,""))</x:f>
      </x:c>
      <x:c r="D1788" s="7"/>
      <x:c r="E1788" s="10" t="n">
        <x:v>8</x:v>
      </x:c>
      <x:c r="F1788" s="10"/>
      <x:c r="G1788" s="10" t="str">
        <x:f>IF(F1788="","",MIN(F1788,E1788))</x:f>
      </x:c>
      <x:c r="H1788" s="10" t="str">
        <x:f>IF(F1788="","",MAX(0,F1788-E1788))</x:f>
      </x:c>
      <x:c r="I1788" s="24"/>
      <x:c r="J1788" s="7"/>
      <x:c r="K1788" s="8" t="str">
        <x:f>IF(A1788="","",DATE(YEAR(A1788),MONTH(A1788),1))</x:f>
      </x:c>
    </x:row>
    <x:row r="1789">
      <x:c r="A1789" s="9"/>
      <x:c r="B1789" s="7"/>
      <x:c r="C1789" s="7" t="str">
        <x:f>IF(B1789="","",XLOOKUP(B1789,Employees!$A$4:$A$53,Employees!$B$4:$B$53,""))</x:f>
      </x:c>
      <x:c r="D1789" s="7"/>
      <x:c r="E1789" s="10" t="n">
        <x:v>8</x:v>
      </x:c>
      <x:c r="F1789" s="10"/>
      <x:c r="G1789" s="10" t="str">
        <x:f>IF(F1789="","",MIN(F1789,E1789))</x:f>
      </x:c>
      <x:c r="H1789" s="10" t="str">
        <x:f>IF(F1789="","",MAX(0,F1789-E1789))</x:f>
      </x:c>
      <x:c r="I1789" s="24"/>
      <x:c r="J1789" s="7"/>
      <x:c r="K1789" s="8" t="str">
        <x:f>IF(A1789="","",DATE(YEAR(A1789),MONTH(A1789),1))</x:f>
      </x:c>
    </x:row>
    <x:row r="1790">
      <x:c r="A1790" s="9"/>
      <x:c r="B1790" s="7"/>
      <x:c r="C1790" s="7" t="str">
        <x:f>IF(B1790="","",XLOOKUP(B1790,Employees!$A$4:$A$53,Employees!$B$4:$B$53,""))</x:f>
      </x:c>
      <x:c r="D1790" s="7"/>
      <x:c r="E1790" s="10" t="n">
        <x:v>8</x:v>
      </x:c>
      <x:c r="F1790" s="10"/>
      <x:c r="G1790" s="10" t="str">
        <x:f>IF(F1790="","",MIN(F1790,E1790))</x:f>
      </x:c>
      <x:c r="H1790" s="10" t="str">
        <x:f>IF(F1790="","",MAX(0,F1790-E1790))</x:f>
      </x:c>
      <x:c r="I1790" s="24"/>
      <x:c r="J1790" s="7"/>
      <x:c r="K1790" s="8" t="str">
        <x:f>IF(A1790="","",DATE(YEAR(A1790),MONTH(A1790),1))</x:f>
      </x:c>
    </x:row>
    <x:row r="1791">
      <x:c r="A1791" s="9"/>
      <x:c r="B1791" s="7"/>
      <x:c r="C1791" s="7" t="str">
        <x:f>IF(B1791="","",XLOOKUP(B1791,Employees!$A$4:$A$53,Employees!$B$4:$B$53,""))</x:f>
      </x:c>
      <x:c r="D1791" s="7"/>
      <x:c r="E1791" s="10" t="n">
        <x:v>8</x:v>
      </x:c>
      <x:c r="F1791" s="10"/>
      <x:c r="G1791" s="10" t="str">
        <x:f>IF(F1791="","",MIN(F1791,E1791))</x:f>
      </x:c>
      <x:c r="H1791" s="10" t="str">
        <x:f>IF(F1791="","",MAX(0,F1791-E1791))</x:f>
      </x:c>
      <x:c r="I1791" s="24"/>
      <x:c r="J1791" s="7"/>
      <x:c r="K1791" s="8" t="str">
        <x:f>IF(A1791="","",DATE(YEAR(A1791),MONTH(A1791),1))</x:f>
      </x:c>
    </x:row>
    <x:row r="1792">
      <x:c r="A1792" s="9"/>
      <x:c r="B1792" s="7"/>
      <x:c r="C1792" s="7" t="str">
        <x:f>IF(B1792="","",XLOOKUP(B1792,Employees!$A$4:$A$53,Employees!$B$4:$B$53,""))</x:f>
      </x:c>
      <x:c r="D1792" s="7"/>
      <x:c r="E1792" s="10" t="n">
        <x:v>8</x:v>
      </x:c>
      <x:c r="F1792" s="10"/>
      <x:c r="G1792" s="10" t="str">
        <x:f>IF(F1792="","",MIN(F1792,E1792))</x:f>
      </x:c>
      <x:c r="H1792" s="10" t="str">
        <x:f>IF(F1792="","",MAX(0,F1792-E1792))</x:f>
      </x:c>
      <x:c r="I1792" s="24"/>
      <x:c r="J1792" s="7"/>
      <x:c r="K1792" s="8" t="str">
        <x:f>IF(A1792="","",DATE(YEAR(A1792),MONTH(A1792),1))</x:f>
      </x:c>
    </x:row>
    <x:row r="1793">
      <x:c r="A1793" s="9"/>
      <x:c r="B1793" s="7"/>
      <x:c r="C1793" s="7" t="str">
        <x:f>IF(B1793="","",XLOOKUP(B1793,Employees!$A$4:$A$53,Employees!$B$4:$B$53,""))</x:f>
      </x:c>
      <x:c r="D1793" s="7"/>
      <x:c r="E1793" s="10" t="n">
        <x:v>8</x:v>
      </x:c>
      <x:c r="F1793" s="10"/>
      <x:c r="G1793" s="10" t="str">
        <x:f>IF(F1793="","",MIN(F1793,E1793))</x:f>
      </x:c>
      <x:c r="H1793" s="10" t="str">
        <x:f>IF(F1793="","",MAX(0,F1793-E1793))</x:f>
      </x:c>
      <x:c r="I1793" s="24"/>
      <x:c r="J1793" s="7"/>
      <x:c r="K1793" s="8" t="str">
        <x:f>IF(A1793="","",DATE(YEAR(A1793),MONTH(A1793),1))</x:f>
      </x:c>
    </x:row>
    <x:row r="1794">
      <x:c r="A1794" s="9"/>
      <x:c r="B1794" s="7"/>
      <x:c r="C1794" s="7" t="str">
        <x:f>IF(B1794="","",XLOOKUP(B1794,Employees!$A$4:$A$53,Employees!$B$4:$B$53,""))</x:f>
      </x:c>
      <x:c r="D1794" s="7"/>
      <x:c r="E1794" s="10" t="n">
        <x:v>8</x:v>
      </x:c>
      <x:c r="F1794" s="10"/>
      <x:c r="G1794" s="10" t="str">
        <x:f>IF(F1794="","",MIN(F1794,E1794))</x:f>
      </x:c>
      <x:c r="H1794" s="10" t="str">
        <x:f>IF(F1794="","",MAX(0,F1794-E1794))</x:f>
      </x:c>
      <x:c r="I1794" s="24"/>
      <x:c r="J1794" s="7"/>
      <x:c r="K1794" s="8" t="str">
        <x:f>IF(A1794="","",DATE(YEAR(A1794),MONTH(A1794),1))</x:f>
      </x:c>
    </x:row>
    <x:row r="1795">
      <x:c r="A1795" s="9"/>
      <x:c r="B1795" s="7"/>
      <x:c r="C1795" s="7" t="str">
        <x:f>IF(B1795="","",XLOOKUP(B1795,Employees!$A$4:$A$53,Employees!$B$4:$B$53,""))</x:f>
      </x:c>
      <x:c r="D1795" s="7"/>
      <x:c r="E1795" s="10" t="n">
        <x:v>8</x:v>
      </x:c>
      <x:c r="F1795" s="10"/>
      <x:c r="G1795" s="10" t="str">
        <x:f>IF(F1795="","",MIN(F1795,E1795))</x:f>
      </x:c>
      <x:c r="H1795" s="10" t="str">
        <x:f>IF(F1795="","",MAX(0,F1795-E1795))</x:f>
      </x:c>
      <x:c r="I1795" s="24"/>
      <x:c r="J1795" s="7"/>
      <x:c r="K1795" s="8" t="str">
        <x:f>IF(A1795="","",DATE(YEAR(A1795),MONTH(A1795),1))</x:f>
      </x:c>
    </x:row>
    <x:row r="1796">
      <x:c r="A1796" s="9"/>
      <x:c r="B1796" s="7"/>
      <x:c r="C1796" s="7" t="str">
        <x:f>IF(B1796="","",XLOOKUP(B1796,Employees!$A$4:$A$53,Employees!$B$4:$B$53,""))</x:f>
      </x:c>
      <x:c r="D1796" s="7"/>
      <x:c r="E1796" s="10" t="n">
        <x:v>8</x:v>
      </x:c>
      <x:c r="F1796" s="10"/>
      <x:c r="G1796" s="10" t="str">
        <x:f>IF(F1796="","",MIN(F1796,E1796))</x:f>
      </x:c>
      <x:c r="H1796" s="10" t="str">
        <x:f>IF(F1796="","",MAX(0,F1796-E1796))</x:f>
      </x:c>
      <x:c r="I1796" s="24"/>
      <x:c r="J1796" s="7"/>
      <x:c r="K1796" s="8" t="str">
        <x:f>IF(A1796="","",DATE(YEAR(A1796),MONTH(A1796),1))</x:f>
      </x:c>
    </x:row>
    <x:row r="1797">
      <x:c r="A1797" s="9"/>
      <x:c r="B1797" s="7"/>
      <x:c r="C1797" s="7" t="str">
        <x:f>IF(B1797="","",XLOOKUP(B1797,Employees!$A$4:$A$53,Employees!$B$4:$B$53,""))</x:f>
      </x:c>
      <x:c r="D1797" s="7"/>
      <x:c r="E1797" s="10" t="n">
        <x:v>8</x:v>
      </x:c>
      <x:c r="F1797" s="10"/>
      <x:c r="G1797" s="10" t="str">
        <x:f>IF(F1797="","",MIN(F1797,E1797))</x:f>
      </x:c>
      <x:c r="H1797" s="10" t="str">
        <x:f>IF(F1797="","",MAX(0,F1797-E1797))</x:f>
      </x:c>
      <x:c r="I1797" s="24"/>
      <x:c r="J1797" s="7"/>
      <x:c r="K1797" s="8" t="str">
        <x:f>IF(A1797="","",DATE(YEAR(A1797),MONTH(A1797),1))</x:f>
      </x:c>
    </x:row>
    <x:row r="1798">
      <x:c r="A1798" s="9"/>
      <x:c r="B1798" s="7"/>
      <x:c r="C1798" s="7" t="str">
        <x:f>IF(B1798="","",XLOOKUP(B1798,Employees!$A$4:$A$53,Employees!$B$4:$B$53,""))</x:f>
      </x:c>
      <x:c r="D1798" s="7"/>
      <x:c r="E1798" s="10" t="n">
        <x:v>8</x:v>
      </x:c>
      <x:c r="F1798" s="10"/>
      <x:c r="G1798" s="10" t="str">
        <x:f>IF(F1798="","",MIN(F1798,E1798))</x:f>
      </x:c>
      <x:c r="H1798" s="10" t="str">
        <x:f>IF(F1798="","",MAX(0,F1798-E1798))</x:f>
      </x:c>
      <x:c r="I1798" s="24"/>
      <x:c r="J1798" s="7"/>
      <x:c r="K1798" s="8" t="str">
        <x:f>IF(A1798="","",DATE(YEAR(A1798),MONTH(A1798),1))</x:f>
      </x:c>
    </x:row>
    <x:row r="1799">
      <x:c r="A1799" s="9"/>
      <x:c r="B1799" s="7"/>
      <x:c r="C1799" s="7" t="str">
        <x:f>IF(B1799="","",XLOOKUP(B1799,Employees!$A$4:$A$53,Employees!$B$4:$B$53,""))</x:f>
      </x:c>
      <x:c r="D1799" s="7"/>
      <x:c r="E1799" s="10" t="n">
        <x:v>8</x:v>
      </x:c>
      <x:c r="F1799" s="10"/>
      <x:c r="G1799" s="10" t="str">
        <x:f>IF(F1799="","",MIN(F1799,E1799))</x:f>
      </x:c>
      <x:c r="H1799" s="10" t="str">
        <x:f>IF(F1799="","",MAX(0,F1799-E1799))</x:f>
      </x:c>
      <x:c r="I1799" s="24"/>
      <x:c r="J1799" s="7"/>
      <x:c r="K1799" s="8" t="str">
        <x:f>IF(A1799="","",DATE(YEAR(A1799),MONTH(A1799),1))</x:f>
      </x:c>
    </x:row>
    <x:row r="1800">
      <x:c r="A1800" s="9"/>
      <x:c r="B1800" s="7"/>
      <x:c r="C1800" s="7" t="str">
        <x:f>IF(B1800="","",XLOOKUP(B1800,Employees!$A$4:$A$53,Employees!$B$4:$B$53,""))</x:f>
      </x:c>
      <x:c r="D1800" s="7"/>
      <x:c r="E1800" s="10" t="n">
        <x:v>8</x:v>
      </x:c>
      <x:c r="F1800" s="10"/>
      <x:c r="G1800" s="10" t="str">
        <x:f>IF(F1800="","",MIN(F1800,E1800))</x:f>
      </x:c>
      <x:c r="H1800" s="10" t="str">
        <x:f>IF(F1800="","",MAX(0,F1800-E1800))</x:f>
      </x:c>
      <x:c r="I1800" s="24"/>
      <x:c r="J1800" s="7"/>
      <x:c r="K1800" s="8" t="str">
        <x:f>IF(A1800="","",DATE(YEAR(A1800),MONTH(A1800),1))</x:f>
      </x:c>
    </x:row>
    <x:row r="1801">
      <x:c r="A1801" s="9"/>
      <x:c r="B1801" s="7"/>
      <x:c r="C1801" s="7" t="str">
        <x:f>IF(B1801="","",XLOOKUP(B1801,Employees!$A$4:$A$53,Employees!$B$4:$B$53,""))</x:f>
      </x:c>
      <x:c r="D1801" s="7"/>
      <x:c r="E1801" s="10" t="n">
        <x:v>8</x:v>
      </x:c>
      <x:c r="F1801" s="10"/>
      <x:c r="G1801" s="10" t="str">
        <x:f>IF(F1801="","",MIN(F1801,E1801))</x:f>
      </x:c>
      <x:c r="H1801" s="10" t="str">
        <x:f>IF(F1801="","",MAX(0,F1801-E1801))</x:f>
      </x:c>
      <x:c r="I1801" s="24"/>
      <x:c r="J1801" s="7"/>
      <x:c r="K1801" s="8" t="str">
        <x:f>IF(A1801="","",DATE(YEAR(A1801),MONTH(A1801),1))</x:f>
      </x:c>
    </x:row>
    <x:row r="1802">
      <x:c r="A1802" s="9"/>
      <x:c r="B1802" s="7"/>
      <x:c r="C1802" s="7" t="str">
        <x:f>IF(B1802="","",XLOOKUP(B1802,Employees!$A$4:$A$53,Employees!$B$4:$B$53,""))</x:f>
      </x:c>
      <x:c r="D1802" s="7"/>
      <x:c r="E1802" s="10" t="n">
        <x:v>8</x:v>
      </x:c>
      <x:c r="F1802" s="10"/>
      <x:c r="G1802" s="10" t="str">
        <x:f>IF(F1802="","",MIN(F1802,E1802))</x:f>
      </x:c>
      <x:c r="H1802" s="10" t="str">
        <x:f>IF(F1802="","",MAX(0,F1802-E1802))</x:f>
      </x:c>
      <x:c r="I1802" s="24"/>
      <x:c r="J1802" s="7"/>
      <x:c r="K1802" s="8" t="str">
        <x:f>IF(A1802="","",DATE(YEAR(A1802),MONTH(A1802),1))</x:f>
      </x:c>
    </x:row>
    <x:row r="1803">
      <x:c r="A1803" s="9"/>
      <x:c r="B1803" s="7"/>
      <x:c r="C1803" s="7" t="str">
        <x:f>IF(B1803="","",XLOOKUP(B1803,Employees!$A$4:$A$53,Employees!$B$4:$B$53,""))</x:f>
      </x:c>
      <x:c r="D1803" s="7"/>
      <x:c r="E1803" s="10" t="n">
        <x:v>8</x:v>
      </x:c>
      <x:c r="F1803" s="10"/>
      <x:c r="G1803" s="10" t="str">
        <x:f>IF(F1803="","",MIN(F1803,E1803))</x:f>
      </x:c>
      <x:c r="H1803" s="10" t="str">
        <x:f>IF(F1803="","",MAX(0,F1803-E1803))</x:f>
      </x:c>
      <x:c r="I1803" s="24"/>
      <x:c r="J1803" s="7"/>
      <x:c r="K1803" s="8" t="str">
        <x:f>IF(A1803="","",DATE(YEAR(A1803),MONTH(A1803),1))</x:f>
      </x:c>
    </x:row>
    <x:row r="1804">
      <x:c r="A1804" s="9"/>
      <x:c r="B1804" s="7"/>
      <x:c r="C1804" s="7" t="str">
        <x:f>IF(B1804="","",XLOOKUP(B1804,Employees!$A$4:$A$53,Employees!$B$4:$B$53,""))</x:f>
      </x:c>
      <x:c r="D1804" s="7"/>
      <x:c r="E1804" s="10" t="n">
        <x:v>8</x:v>
      </x:c>
      <x:c r="F1804" s="10"/>
      <x:c r="G1804" s="10" t="str">
        <x:f>IF(F1804="","",MIN(F1804,E1804))</x:f>
      </x:c>
      <x:c r="H1804" s="10" t="str">
        <x:f>IF(F1804="","",MAX(0,F1804-E1804))</x:f>
      </x:c>
      <x:c r="I1804" s="24"/>
      <x:c r="J1804" s="7"/>
      <x:c r="K1804" s="8" t="str">
        <x:f>IF(A1804="","",DATE(YEAR(A1804),MONTH(A1804),1))</x:f>
      </x:c>
    </x:row>
    <x:row r="1805">
      <x:c r="A1805" s="9"/>
      <x:c r="B1805" s="7"/>
      <x:c r="C1805" s="7" t="str">
        <x:f>IF(B1805="","",XLOOKUP(B1805,Employees!$A$4:$A$53,Employees!$B$4:$B$53,""))</x:f>
      </x:c>
      <x:c r="D1805" s="7"/>
      <x:c r="E1805" s="10" t="n">
        <x:v>8</x:v>
      </x:c>
      <x:c r="F1805" s="10"/>
      <x:c r="G1805" s="10" t="str">
        <x:f>IF(F1805="","",MIN(F1805,E1805))</x:f>
      </x:c>
      <x:c r="H1805" s="10" t="str">
        <x:f>IF(F1805="","",MAX(0,F1805-E1805))</x:f>
      </x:c>
      <x:c r="I1805" s="24"/>
      <x:c r="J1805" s="7"/>
      <x:c r="K1805" s="8" t="str">
        <x:f>IF(A1805="","",DATE(YEAR(A1805),MONTH(A1805),1))</x:f>
      </x:c>
    </x:row>
    <x:row r="1806">
      <x:c r="A1806" s="9"/>
      <x:c r="B1806" s="7"/>
      <x:c r="C1806" s="7" t="str">
        <x:f>IF(B1806="","",XLOOKUP(B1806,Employees!$A$4:$A$53,Employees!$B$4:$B$53,""))</x:f>
      </x:c>
      <x:c r="D1806" s="7"/>
      <x:c r="E1806" s="10" t="n">
        <x:v>8</x:v>
      </x:c>
      <x:c r="F1806" s="10"/>
      <x:c r="G1806" s="10" t="str">
        <x:f>IF(F1806="","",MIN(F1806,E1806))</x:f>
      </x:c>
      <x:c r="H1806" s="10" t="str">
        <x:f>IF(F1806="","",MAX(0,F1806-E1806))</x:f>
      </x:c>
      <x:c r="I1806" s="24"/>
      <x:c r="J1806" s="7"/>
      <x:c r="K1806" s="8" t="str">
        <x:f>IF(A1806="","",DATE(YEAR(A1806),MONTH(A1806),1))</x:f>
      </x:c>
    </x:row>
    <x:row r="1807">
      <x:c r="A1807" s="9"/>
      <x:c r="B1807" s="7"/>
      <x:c r="C1807" s="7" t="str">
        <x:f>IF(B1807="","",XLOOKUP(B1807,Employees!$A$4:$A$53,Employees!$B$4:$B$53,""))</x:f>
      </x:c>
      <x:c r="D1807" s="7"/>
      <x:c r="E1807" s="10" t="n">
        <x:v>8</x:v>
      </x:c>
      <x:c r="F1807" s="10"/>
      <x:c r="G1807" s="10" t="str">
        <x:f>IF(F1807="","",MIN(F1807,E1807))</x:f>
      </x:c>
      <x:c r="H1807" s="10" t="str">
        <x:f>IF(F1807="","",MAX(0,F1807-E1807))</x:f>
      </x:c>
      <x:c r="I1807" s="24"/>
      <x:c r="J1807" s="7"/>
      <x:c r="K1807" s="8" t="str">
        <x:f>IF(A1807="","",DATE(YEAR(A1807),MONTH(A1807),1))</x:f>
      </x:c>
    </x:row>
    <x:row r="1808">
      <x:c r="A1808" s="9"/>
      <x:c r="B1808" s="7"/>
      <x:c r="C1808" s="7" t="str">
        <x:f>IF(B1808="","",XLOOKUP(B1808,Employees!$A$4:$A$53,Employees!$B$4:$B$53,""))</x:f>
      </x:c>
      <x:c r="D1808" s="7"/>
      <x:c r="E1808" s="10" t="n">
        <x:v>8</x:v>
      </x:c>
      <x:c r="F1808" s="10"/>
      <x:c r="G1808" s="10" t="str">
        <x:f>IF(F1808="","",MIN(F1808,E1808))</x:f>
      </x:c>
      <x:c r="H1808" s="10" t="str">
        <x:f>IF(F1808="","",MAX(0,F1808-E1808))</x:f>
      </x:c>
      <x:c r="I1808" s="24"/>
      <x:c r="J1808" s="7"/>
      <x:c r="K1808" s="8" t="str">
        <x:f>IF(A1808="","",DATE(YEAR(A1808),MONTH(A1808),1))</x:f>
      </x:c>
    </x:row>
    <x:row r="1809">
      <x:c r="A1809" s="9"/>
      <x:c r="B1809" s="7"/>
      <x:c r="C1809" s="7" t="str">
        <x:f>IF(B1809="","",XLOOKUP(B1809,Employees!$A$4:$A$53,Employees!$B$4:$B$53,""))</x:f>
      </x:c>
      <x:c r="D1809" s="7"/>
      <x:c r="E1809" s="10" t="n">
        <x:v>8</x:v>
      </x:c>
      <x:c r="F1809" s="10"/>
      <x:c r="G1809" s="10" t="str">
        <x:f>IF(F1809="","",MIN(F1809,E1809))</x:f>
      </x:c>
      <x:c r="H1809" s="10" t="str">
        <x:f>IF(F1809="","",MAX(0,F1809-E1809))</x:f>
      </x:c>
      <x:c r="I1809" s="24"/>
      <x:c r="J1809" s="7"/>
      <x:c r="K1809" s="8" t="str">
        <x:f>IF(A1809="","",DATE(YEAR(A1809),MONTH(A1809),1))</x:f>
      </x:c>
    </x:row>
    <x:row r="1810">
      <x:c r="A1810" s="9"/>
      <x:c r="B1810" s="7"/>
      <x:c r="C1810" s="7" t="str">
        <x:f>IF(B1810="","",XLOOKUP(B1810,Employees!$A$4:$A$53,Employees!$B$4:$B$53,""))</x:f>
      </x:c>
      <x:c r="D1810" s="7"/>
      <x:c r="E1810" s="10" t="n">
        <x:v>8</x:v>
      </x:c>
      <x:c r="F1810" s="10"/>
      <x:c r="G1810" s="10" t="str">
        <x:f>IF(F1810="","",MIN(F1810,E1810))</x:f>
      </x:c>
      <x:c r="H1810" s="10" t="str">
        <x:f>IF(F1810="","",MAX(0,F1810-E1810))</x:f>
      </x:c>
      <x:c r="I1810" s="24"/>
      <x:c r="J1810" s="7"/>
      <x:c r="K1810" s="8" t="str">
        <x:f>IF(A1810="","",DATE(YEAR(A1810),MONTH(A1810),1))</x:f>
      </x:c>
    </x:row>
    <x:row r="1811">
      <x:c r="A1811" s="9"/>
      <x:c r="B1811" s="7"/>
      <x:c r="C1811" s="7" t="str">
        <x:f>IF(B1811="","",XLOOKUP(B1811,Employees!$A$4:$A$53,Employees!$B$4:$B$53,""))</x:f>
      </x:c>
      <x:c r="D1811" s="7"/>
      <x:c r="E1811" s="10" t="n">
        <x:v>8</x:v>
      </x:c>
      <x:c r="F1811" s="10"/>
      <x:c r="G1811" s="10" t="str">
        <x:f>IF(F1811="","",MIN(F1811,E1811))</x:f>
      </x:c>
      <x:c r="H1811" s="10" t="str">
        <x:f>IF(F1811="","",MAX(0,F1811-E1811))</x:f>
      </x:c>
      <x:c r="I1811" s="24"/>
      <x:c r="J1811" s="7"/>
      <x:c r="K1811" s="8" t="str">
        <x:f>IF(A1811="","",DATE(YEAR(A1811),MONTH(A1811),1))</x:f>
      </x:c>
    </x:row>
    <x:row r="1812">
      <x:c r="A1812" s="9"/>
      <x:c r="B1812" s="7"/>
      <x:c r="C1812" s="7" t="str">
        <x:f>IF(B1812="","",XLOOKUP(B1812,Employees!$A$4:$A$53,Employees!$B$4:$B$53,""))</x:f>
      </x:c>
      <x:c r="D1812" s="7"/>
      <x:c r="E1812" s="10" t="n">
        <x:v>8</x:v>
      </x:c>
      <x:c r="F1812" s="10"/>
      <x:c r="G1812" s="10" t="str">
        <x:f>IF(F1812="","",MIN(F1812,E1812))</x:f>
      </x:c>
      <x:c r="H1812" s="10" t="str">
        <x:f>IF(F1812="","",MAX(0,F1812-E1812))</x:f>
      </x:c>
      <x:c r="I1812" s="24"/>
      <x:c r="J1812" s="7"/>
      <x:c r="K1812" s="8" t="str">
        <x:f>IF(A1812="","",DATE(YEAR(A1812),MONTH(A1812),1))</x:f>
      </x:c>
    </x:row>
    <x:row r="1813">
      <x:c r="A1813" s="9"/>
      <x:c r="B1813" s="7"/>
      <x:c r="C1813" s="7" t="str">
        <x:f>IF(B1813="","",XLOOKUP(B1813,Employees!$A$4:$A$53,Employees!$B$4:$B$53,""))</x:f>
      </x:c>
      <x:c r="D1813" s="7"/>
      <x:c r="E1813" s="10" t="n">
        <x:v>8</x:v>
      </x:c>
      <x:c r="F1813" s="10"/>
      <x:c r="G1813" s="10" t="str">
        <x:f>IF(F1813="","",MIN(F1813,E1813))</x:f>
      </x:c>
      <x:c r="H1813" s="10" t="str">
        <x:f>IF(F1813="","",MAX(0,F1813-E1813))</x:f>
      </x:c>
      <x:c r="I1813" s="24"/>
      <x:c r="J1813" s="7"/>
      <x:c r="K1813" s="8" t="str">
        <x:f>IF(A1813="","",DATE(YEAR(A1813),MONTH(A1813),1))</x:f>
      </x:c>
    </x:row>
    <x:row r="1814">
      <x:c r="A1814" s="9"/>
      <x:c r="B1814" s="7"/>
      <x:c r="C1814" s="7" t="str">
        <x:f>IF(B1814="","",XLOOKUP(B1814,Employees!$A$4:$A$53,Employees!$B$4:$B$53,""))</x:f>
      </x:c>
      <x:c r="D1814" s="7"/>
      <x:c r="E1814" s="10" t="n">
        <x:v>8</x:v>
      </x:c>
      <x:c r="F1814" s="10"/>
      <x:c r="G1814" s="10" t="str">
        <x:f>IF(F1814="","",MIN(F1814,E1814))</x:f>
      </x:c>
      <x:c r="H1814" s="10" t="str">
        <x:f>IF(F1814="","",MAX(0,F1814-E1814))</x:f>
      </x:c>
      <x:c r="I1814" s="24"/>
      <x:c r="J1814" s="7"/>
      <x:c r="K1814" s="8" t="str">
        <x:f>IF(A1814="","",DATE(YEAR(A1814),MONTH(A1814),1))</x:f>
      </x:c>
    </x:row>
    <x:row r="1815">
      <x:c r="A1815" s="9"/>
      <x:c r="B1815" s="7"/>
      <x:c r="C1815" s="7" t="str">
        <x:f>IF(B1815="","",XLOOKUP(B1815,Employees!$A$4:$A$53,Employees!$B$4:$B$53,""))</x:f>
      </x:c>
      <x:c r="D1815" s="7"/>
      <x:c r="E1815" s="10" t="n">
        <x:v>8</x:v>
      </x:c>
      <x:c r="F1815" s="10"/>
      <x:c r="G1815" s="10" t="str">
        <x:f>IF(F1815="","",MIN(F1815,E1815))</x:f>
      </x:c>
      <x:c r="H1815" s="10" t="str">
        <x:f>IF(F1815="","",MAX(0,F1815-E1815))</x:f>
      </x:c>
      <x:c r="I1815" s="24"/>
      <x:c r="J1815" s="7"/>
      <x:c r="K1815" s="8" t="str">
        <x:f>IF(A1815="","",DATE(YEAR(A1815),MONTH(A1815),1))</x:f>
      </x:c>
    </x:row>
    <x:row r="1816">
      <x:c r="A1816" s="9"/>
      <x:c r="B1816" s="7"/>
      <x:c r="C1816" s="7" t="str">
        <x:f>IF(B1816="","",XLOOKUP(B1816,Employees!$A$4:$A$53,Employees!$B$4:$B$53,""))</x:f>
      </x:c>
      <x:c r="D1816" s="7"/>
      <x:c r="E1816" s="10" t="n">
        <x:v>8</x:v>
      </x:c>
      <x:c r="F1816" s="10"/>
      <x:c r="G1816" s="10" t="str">
        <x:f>IF(F1816="","",MIN(F1816,E1816))</x:f>
      </x:c>
      <x:c r="H1816" s="10" t="str">
        <x:f>IF(F1816="","",MAX(0,F1816-E1816))</x:f>
      </x:c>
      <x:c r="I1816" s="24"/>
      <x:c r="J1816" s="7"/>
      <x:c r="K1816" s="8" t="str">
        <x:f>IF(A1816="","",DATE(YEAR(A1816),MONTH(A1816),1))</x:f>
      </x:c>
    </x:row>
    <x:row r="1817">
      <x:c r="A1817" s="9"/>
      <x:c r="B1817" s="7"/>
      <x:c r="C1817" s="7" t="str">
        <x:f>IF(B1817="","",XLOOKUP(B1817,Employees!$A$4:$A$53,Employees!$B$4:$B$53,""))</x:f>
      </x:c>
      <x:c r="D1817" s="7"/>
      <x:c r="E1817" s="10" t="n">
        <x:v>8</x:v>
      </x:c>
      <x:c r="F1817" s="10"/>
      <x:c r="G1817" s="10" t="str">
        <x:f>IF(F1817="","",MIN(F1817,E1817))</x:f>
      </x:c>
      <x:c r="H1817" s="10" t="str">
        <x:f>IF(F1817="","",MAX(0,F1817-E1817))</x:f>
      </x:c>
      <x:c r="I1817" s="24"/>
      <x:c r="J1817" s="7"/>
      <x:c r="K1817" s="8" t="str">
        <x:f>IF(A1817="","",DATE(YEAR(A1817),MONTH(A1817),1))</x:f>
      </x:c>
    </x:row>
    <x:row r="1818">
      <x:c r="A1818" s="9"/>
      <x:c r="B1818" s="7"/>
      <x:c r="C1818" s="7" t="str">
        <x:f>IF(B1818="","",XLOOKUP(B1818,Employees!$A$4:$A$53,Employees!$B$4:$B$53,""))</x:f>
      </x:c>
      <x:c r="D1818" s="7"/>
      <x:c r="E1818" s="10" t="n">
        <x:v>8</x:v>
      </x:c>
      <x:c r="F1818" s="10"/>
      <x:c r="G1818" s="10" t="str">
        <x:f>IF(F1818="","",MIN(F1818,E1818))</x:f>
      </x:c>
      <x:c r="H1818" s="10" t="str">
        <x:f>IF(F1818="","",MAX(0,F1818-E1818))</x:f>
      </x:c>
      <x:c r="I1818" s="24"/>
      <x:c r="J1818" s="7"/>
      <x:c r="K1818" s="8" t="str">
        <x:f>IF(A1818="","",DATE(YEAR(A1818),MONTH(A1818),1))</x:f>
      </x:c>
    </x:row>
    <x:row r="1819">
      <x:c r="A1819" s="9"/>
      <x:c r="B1819" s="7"/>
      <x:c r="C1819" s="7" t="str">
        <x:f>IF(B1819="","",XLOOKUP(B1819,Employees!$A$4:$A$53,Employees!$B$4:$B$53,""))</x:f>
      </x:c>
      <x:c r="D1819" s="7"/>
      <x:c r="E1819" s="10" t="n">
        <x:v>8</x:v>
      </x:c>
      <x:c r="F1819" s="10"/>
      <x:c r="G1819" s="10" t="str">
        <x:f>IF(F1819="","",MIN(F1819,E1819))</x:f>
      </x:c>
      <x:c r="H1819" s="10" t="str">
        <x:f>IF(F1819="","",MAX(0,F1819-E1819))</x:f>
      </x:c>
      <x:c r="I1819" s="24"/>
      <x:c r="J1819" s="7"/>
      <x:c r="K1819" s="8" t="str">
        <x:f>IF(A1819="","",DATE(YEAR(A1819),MONTH(A1819),1))</x:f>
      </x:c>
    </x:row>
    <x:row r="1820">
      <x:c r="A1820" s="9"/>
      <x:c r="B1820" s="7"/>
      <x:c r="C1820" s="7" t="str">
        <x:f>IF(B1820="","",XLOOKUP(B1820,Employees!$A$4:$A$53,Employees!$B$4:$B$53,""))</x:f>
      </x:c>
      <x:c r="D1820" s="7"/>
      <x:c r="E1820" s="10" t="n">
        <x:v>8</x:v>
      </x:c>
      <x:c r="F1820" s="10"/>
      <x:c r="G1820" s="10" t="str">
        <x:f>IF(F1820="","",MIN(F1820,E1820))</x:f>
      </x:c>
      <x:c r="H1820" s="10" t="str">
        <x:f>IF(F1820="","",MAX(0,F1820-E1820))</x:f>
      </x:c>
      <x:c r="I1820" s="24"/>
      <x:c r="J1820" s="7"/>
      <x:c r="K1820" s="8" t="str">
        <x:f>IF(A1820="","",DATE(YEAR(A1820),MONTH(A1820),1))</x:f>
      </x:c>
    </x:row>
    <x:row r="1821">
      <x:c r="A1821" s="9"/>
      <x:c r="B1821" s="7"/>
      <x:c r="C1821" s="7" t="str">
        <x:f>IF(B1821="","",XLOOKUP(B1821,Employees!$A$4:$A$53,Employees!$B$4:$B$53,""))</x:f>
      </x:c>
      <x:c r="D1821" s="7"/>
      <x:c r="E1821" s="10" t="n">
        <x:v>8</x:v>
      </x:c>
      <x:c r="F1821" s="10"/>
      <x:c r="G1821" s="10" t="str">
        <x:f>IF(F1821="","",MIN(F1821,E1821))</x:f>
      </x:c>
      <x:c r="H1821" s="10" t="str">
        <x:f>IF(F1821="","",MAX(0,F1821-E1821))</x:f>
      </x:c>
      <x:c r="I1821" s="24"/>
      <x:c r="J1821" s="7"/>
      <x:c r="K1821" s="8" t="str">
        <x:f>IF(A1821="","",DATE(YEAR(A1821),MONTH(A1821),1))</x:f>
      </x:c>
    </x:row>
    <x:row r="1822">
      <x:c r="A1822" s="9"/>
      <x:c r="B1822" s="7"/>
      <x:c r="C1822" s="7" t="str">
        <x:f>IF(B1822="","",XLOOKUP(B1822,Employees!$A$4:$A$53,Employees!$B$4:$B$53,""))</x:f>
      </x:c>
      <x:c r="D1822" s="7"/>
      <x:c r="E1822" s="10" t="n">
        <x:v>8</x:v>
      </x:c>
      <x:c r="F1822" s="10"/>
      <x:c r="G1822" s="10" t="str">
        <x:f>IF(F1822="","",MIN(F1822,E1822))</x:f>
      </x:c>
      <x:c r="H1822" s="10" t="str">
        <x:f>IF(F1822="","",MAX(0,F1822-E1822))</x:f>
      </x:c>
      <x:c r="I1822" s="24"/>
      <x:c r="J1822" s="7"/>
      <x:c r="K1822" s="8" t="str">
        <x:f>IF(A1822="","",DATE(YEAR(A1822),MONTH(A1822),1))</x:f>
      </x:c>
    </x:row>
    <x:row r="1823">
      <x:c r="A1823" s="9"/>
      <x:c r="B1823" s="7"/>
      <x:c r="C1823" s="7" t="str">
        <x:f>IF(B1823="","",XLOOKUP(B1823,Employees!$A$4:$A$53,Employees!$B$4:$B$53,""))</x:f>
      </x:c>
      <x:c r="D1823" s="7"/>
      <x:c r="E1823" s="10" t="n">
        <x:v>8</x:v>
      </x:c>
      <x:c r="F1823" s="10"/>
      <x:c r="G1823" s="10" t="str">
        <x:f>IF(F1823="","",MIN(F1823,E1823))</x:f>
      </x:c>
      <x:c r="H1823" s="10" t="str">
        <x:f>IF(F1823="","",MAX(0,F1823-E1823))</x:f>
      </x:c>
      <x:c r="I1823" s="24"/>
      <x:c r="J1823" s="7"/>
      <x:c r="K1823" s="8" t="str">
        <x:f>IF(A1823="","",DATE(YEAR(A1823),MONTH(A1823),1))</x:f>
      </x:c>
    </x:row>
    <x:row r="1824">
      <x:c r="A1824" s="9"/>
      <x:c r="B1824" s="7"/>
      <x:c r="C1824" s="7" t="str">
        <x:f>IF(B1824="","",XLOOKUP(B1824,Employees!$A$4:$A$53,Employees!$B$4:$B$53,""))</x:f>
      </x:c>
      <x:c r="D1824" s="7"/>
      <x:c r="E1824" s="10" t="n">
        <x:v>8</x:v>
      </x:c>
      <x:c r="F1824" s="10"/>
      <x:c r="G1824" s="10" t="str">
        <x:f>IF(F1824="","",MIN(F1824,E1824))</x:f>
      </x:c>
      <x:c r="H1824" s="10" t="str">
        <x:f>IF(F1824="","",MAX(0,F1824-E1824))</x:f>
      </x:c>
      <x:c r="I1824" s="24"/>
      <x:c r="J1824" s="7"/>
      <x:c r="K1824" s="8" t="str">
        <x:f>IF(A1824="","",DATE(YEAR(A1824),MONTH(A1824),1))</x:f>
      </x:c>
    </x:row>
    <x:row r="1825">
      <x:c r="A1825" s="9"/>
      <x:c r="B1825" s="7"/>
      <x:c r="C1825" s="7" t="str">
        <x:f>IF(B1825="","",XLOOKUP(B1825,Employees!$A$4:$A$53,Employees!$B$4:$B$53,""))</x:f>
      </x:c>
      <x:c r="D1825" s="7"/>
      <x:c r="E1825" s="10" t="n">
        <x:v>8</x:v>
      </x:c>
      <x:c r="F1825" s="10"/>
      <x:c r="G1825" s="10" t="str">
        <x:f>IF(F1825="","",MIN(F1825,E1825))</x:f>
      </x:c>
      <x:c r="H1825" s="10" t="str">
        <x:f>IF(F1825="","",MAX(0,F1825-E1825))</x:f>
      </x:c>
      <x:c r="I1825" s="24"/>
      <x:c r="J1825" s="7"/>
      <x:c r="K1825" s="8" t="str">
        <x:f>IF(A1825="","",DATE(YEAR(A1825),MONTH(A1825),1))</x:f>
      </x:c>
    </x:row>
    <x:row r="1826">
      <x:c r="A1826" s="9"/>
      <x:c r="B1826" s="7"/>
      <x:c r="C1826" s="7" t="str">
        <x:f>IF(B1826="","",XLOOKUP(B1826,Employees!$A$4:$A$53,Employees!$B$4:$B$53,""))</x:f>
      </x:c>
      <x:c r="D1826" s="7"/>
      <x:c r="E1826" s="10" t="n">
        <x:v>8</x:v>
      </x:c>
      <x:c r="F1826" s="10"/>
      <x:c r="G1826" s="10" t="str">
        <x:f>IF(F1826="","",MIN(F1826,E1826))</x:f>
      </x:c>
      <x:c r="H1826" s="10" t="str">
        <x:f>IF(F1826="","",MAX(0,F1826-E1826))</x:f>
      </x:c>
      <x:c r="I1826" s="24"/>
      <x:c r="J1826" s="7"/>
      <x:c r="K1826" s="8" t="str">
        <x:f>IF(A1826="","",DATE(YEAR(A1826),MONTH(A1826),1))</x:f>
      </x:c>
    </x:row>
    <x:row r="1827">
      <x:c r="A1827" s="9"/>
      <x:c r="B1827" s="7"/>
      <x:c r="C1827" s="7" t="str">
        <x:f>IF(B1827="","",XLOOKUP(B1827,Employees!$A$4:$A$53,Employees!$B$4:$B$53,""))</x:f>
      </x:c>
      <x:c r="D1827" s="7"/>
      <x:c r="E1827" s="10" t="n">
        <x:v>8</x:v>
      </x:c>
      <x:c r="F1827" s="10"/>
      <x:c r="G1827" s="10" t="str">
        <x:f>IF(F1827="","",MIN(F1827,E1827))</x:f>
      </x:c>
      <x:c r="H1827" s="10" t="str">
        <x:f>IF(F1827="","",MAX(0,F1827-E1827))</x:f>
      </x:c>
      <x:c r="I1827" s="24"/>
      <x:c r="J1827" s="7"/>
      <x:c r="K1827" s="8" t="str">
        <x:f>IF(A1827="","",DATE(YEAR(A1827),MONTH(A1827),1))</x:f>
      </x:c>
    </x:row>
    <x:row r="1828">
      <x:c r="A1828" s="9"/>
      <x:c r="B1828" s="7"/>
      <x:c r="C1828" s="7" t="str">
        <x:f>IF(B1828="","",XLOOKUP(B1828,Employees!$A$4:$A$53,Employees!$B$4:$B$53,""))</x:f>
      </x:c>
      <x:c r="D1828" s="7"/>
      <x:c r="E1828" s="10" t="n">
        <x:v>8</x:v>
      </x:c>
      <x:c r="F1828" s="10"/>
      <x:c r="G1828" s="10" t="str">
        <x:f>IF(F1828="","",MIN(F1828,E1828))</x:f>
      </x:c>
      <x:c r="H1828" s="10" t="str">
        <x:f>IF(F1828="","",MAX(0,F1828-E1828))</x:f>
      </x:c>
      <x:c r="I1828" s="24"/>
      <x:c r="J1828" s="7"/>
      <x:c r="K1828" s="8" t="str">
        <x:f>IF(A1828="","",DATE(YEAR(A1828),MONTH(A1828),1))</x:f>
      </x:c>
    </x:row>
    <x:row r="1829">
      <x:c r="A1829" s="9"/>
      <x:c r="B1829" s="7"/>
      <x:c r="C1829" s="7" t="str">
        <x:f>IF(B1829="","",XLOOKUP(B1829,Employees!$A$4:$A$53,Employees!$B$4:$B$53,""))</x:f>
      </x:c>
      <x:c r="D1829" s="7"/>
      <x:c r="E1829" s="10" t="n">
        <x:v>8</x:v>
      </x:c>
      <x:c r="F1829" s="10"/>
      <x:c r="G1829" s="10" t="str">
        <x:f>IF(F1829="","",MIN(F1829,E1829))</x:f>
      </x:c>
      <x:c r="H1829" s="10" t="str">
        <x:f>IF(F1829="","",MAX(0,F1829-E1829))</x:f>
      </x:c>
      <x:c r="I1829" s="24"/>
      <x:c r="J1829" s="7"/>
      <x:c r="K1829" s="8" t="str">
        <x:f>IF(A1829="","",DATE(YEAR(A1829),MONTH(A1829),1))</x:f>
      </x:c>
    </x:row>
    <x:row r="1830">
      <x:c r="A1830" s="9"/>
      <x:c r="B1830" s="7"/>
      <x:c r="C1830" s="7" t="str">
        <x:f>IF(B1830="","",XLOOKUP(B1830,Employees!$A$4:$A$53,Employees!$B$4:$B$53,""))</x:f>
      </x:c>
      <x:c r="D1830" s="7"/>
      <x:c r="E1830" s="10" t="n">
        <x:v>8</x:v>
      </x:c>
      <x:c r="F1830" s="10"/>
      <x:c r="G1830" s="10" t="str">
        <x:f>IF(F1830="","",MIN(F1830,E1830))</x:f>
      </x:c>
      <x:c r="H1830" s="10" t="str">
        <x:f>IF(F1830="","",MAX(0,F1830-E1830))</x:f>
      </x:c>
      <x:c r="I1830" s="24"/>
      <x:c r="J1830" s="7"/>
      <x:c r="K1830" s="8" t="str">
        <x:f>IF(A1830="","",DATE(YEAR(A1830),MONTH(A1830),1))</x:f>
      </x:c>
    </x:row>
    <x:row r="1831">
      <x:c r="A1831" s="9"/>
      <x:c r="B1831" s="7"/>
      <x:c r="C1831" s="7" t="str">
        <x:f>IF(B1831="","",XLOOKUP(B1831,Employees!$A$4:$A$53,Employees!$B$4:$B$53,""))</x:f>
      </x:c>
      <x:c r="D1831" s="7"/>
      <x:c r="E1831" s="10" t="n">
        <x:v>8</x:v>
      </x:c>
      <x:c r="F1831" s="10"/>
      <x:c r="G1831" s="10" t="str">
        <x:f>IF(F1831="","",MIN(F1831,E1831))</x:f>
      </x:c>
      <x:c r="H1831" s="10" t="str">
        <x:f>IF(F1831="","",MAX(0,F1831-E1831))</x:f>
      </x:c>
      <x:c r="I1831" s="24"/>
      <x:c r="J1831" s="7"/>
      <x:c r="K1831" s="8" t="str">
        <x:f>IF(A1831="","",DATE(YEAR(A1831),MONTH(A1831),1))</x:f>
      </x:c>
    </x:row>
    <x:row r="1832">
      <x:c r="A1832" s="9"/>
      <x:c r="B1832" s="7"/>
      <x:c r="C1832" s="7" t="str">
        <x:f>IF(B1832="","",XLOOKUP(B1832,Employees!$A$4:$A$53,Employees!$B$4:$B$53,""))</x:f>
      </x:c>
      <x:c r="D1832" s="7"/>
      <x:c r="E1832" s="10" t="n">
        <x:v>8</x:v>
      </x:c>
      <x:c r="F1832" s="10"/>
      <x:c r="G1832" s="10" t="str">
        <x:f>IF(F1832="","",MIN(F1832,E1832))</x:f>
      </x:c>
      <x:c r="H1832" s="10" t="str">
        <x:f>IF(F1832="","",MAX(0,F1832-E1832))</x:f>
      </x:c>
      <x:c r="I1832" s="24"/>
      <x:c r="J1832" s="7"/>
      <x:c r="K1832" s="8" t="str">
        <x:f>IF(A1832="","",DATE(YEAR(A1832),MONTH(A1832),1))</x:f>
      </x:c>
    </x:row>
    <x:row r="1833">
      <x:c r="A1833" s="9"/>
      <x:c r="B1833" s="7"/>
      <x:c r="C1833" s="7" t="str">
        <x:f>IF(B1833="","",XLOOKUP(B1833,Employees!$A$4:$A$53,Employees!$B$4:$B$53,""))</x:f>
      </x:c>
      <x:c r="D1833" s="7"/>
      <x:c r="E1833" s="10" t="n">
        <x:v>8</x:v>
      </x:c>
      <x:c r="F1833" s="10"/>
      <x:c r="G1833" s="10" t="str">
        <x:f>IF(F1833="","",MIN(F1833,E1833))</x:f>
      </x:c>
      <x:c r="H1833" s="10" t="str">
        <x:f>IF(F1833="","",MAX(0,F1833-E1833))</x:f>
      </x:c>
      <x:c r="I1833" s="24"/>
      <x:c r="J1833" s="7"/>
      <x:c r="K1833" s="8" t="str">
        <x:f>IF(A1833="","",DATE(YEAR(A1833),MONTH(A1833),1))</x:f>
      </x:c>
    </x:row>
    <x:row r="1834">
      <x:c r="A1834" s="9"/>
      <x:c r="B1834" s="7"/>
      <x:c r="C1834" s="7" t="str">
        <x:f>IF(B1834="","",XLOOKUP(B1834,Employees!$A$4:$A$53,Employees!$B$4:$B$53,""))</x:f>
      </x:c>
      <x:c r="D1834" s="7"/>
      <x:c r="E1834" s="10" t="n">
        <x:v>8</x:v>
      </x:c>
      <x:c r="F1834" s="10"/>
      <x:c r="G1834" s="10" t="str">
        <x:f>IF(F1834="","",MIN(F1834,E1834))</x:f>
      </x:c>
      <x:c r="H1834" s="10" t="str">
        <x:f>IF(F1834="","",MAX(0,F1834-E1834))</x:f>
      </x:c>
      <x:c r="I1834" s="24"/>
      <x:c r="J1834" s="7"/>
      <x:c r="K1834" s="8" t="str">
        <x:f>IF(A1834="","",DATE(YEAR(A1834),MONTH(A1834),1))</x:f>
      </x:c>
    </x:row>
    <x:row r="1835">
      <x:c r="A1835" s="9"/>
      <x:c r="B1835" s="7"/>
      <x:c r="C1835" s="7" t="str">
        <x:f>IF(B1835="","",XLOOKUP(B1835,Employees!$A$4:$A$53,Employees!$B$4:$B$53,""))</x:f>
      </x:c>
      <x:c r="D1835" s="7"/>
      <x:c r="E1835" s="10" t="n">
        <x:v>8</x:v>
      </x:c>
      <x:c r="F1835" s="10"/>
      <x:c r="G1835" s="10" t="str">
        <x:f>IF(F1835="","",MIN(F1835,E1835))</x:f>
      </x:c>
      <x:c r="H1835" s="10" t="str">
        <x:f>IF(F1835="","",MAX(0,F1835-E1835))</x:f>
      </x:c>
      <x:c r="I1835" s="24"/>
      <x:c r="J1835" s="7"/>
      <x:c r="K1835" s="8" t="str">
        <x:f>IF(A1835="","",DATE(YEAR(A1835),MONTH(A1835),1))</x:f>
      </x:c>
    </x:row>
    <x:row r="1836">
      <x:c r="A1836" s="9"/>
      <x:c r="B1836" s="7"/>
      <x:c r="C1836" s="7" t="str">
        <x:f>IF(B1836="","",XLOOKUP(B1836,Employees!$A$4:$A$53,Employees!$B$4:$B$53,""))</x:f>
      </x:c>
      <x:c r="D1836" s="7"/>
      <x:c r="E1836" s="10" t="n">
        <x:v>8</x:v>
      </x:c>
      <x:c r="F1836" s="10"/>
      <x:c r="G1836" s="10" t="str">
        <x:f>IF(F1836="","",MIN(F1836,E1836))</x:f>
      </x:c>
      <x:c r="H1836" s="10" t="str">
        <x:f>IF(F1836="","",MAX(0,F1836-E1836))</x:f>
      </x:c>
      <x:c r="I1836" s="24"/>
      <x:c r="J1836" s="7"/>
      <x:c r="K1836" s="8" t="str">
        <x:f>IF(A1836="","",DATE(YEAR(A1836),MONTH(A1836),1))</x:f>
      </x:c>
    </x:row>
    <x:row r="1837">
      <x:c r="A1837" s="9"/>
      <x:c r="B1837" s="7"/>
      <x:c r="C1837" s="7" t="str">
        <x:f>IF(B1837="","",XLOOKUP(B1837,Employees!$A$4:$A$53,Employees!$B$4:$B$53,""))</x:f>
      </x:c>
      <x:c r="D1837" s="7"/>
      <x:c r="E1837" s="10" t="n">
        <x:v>8</x:v>
      </x:c>
      <x:c r="F1837" s="10"/>
      <x:c r="G1837" s="10" t="str">
        <x:f>IF(F1837="","",MIN(F1837,E1837))</x:f>
      </x:c>
      <x:c r="H1837" s="10" t="str">
        <x:f>IF(F1837="","",MAX(0,F1837-E1837))</x:f>
      </x:c>
      <x:c r="I1837" s="24"/>
      <x:c r="J1837" s="7"/>
      <x:c r="K1837" s="8" t="str">
        <x:f>IF(A1837="","",DATE(YEAR(A1837),MONTH(A1837),1))</x:f>
      </x:c>
    </x:row>
    <x:row r="1838">
      <x:c r="A1838" s="9"/>
      <x:c r="B1838" s="7"/>
      <x:c r="C1838" s="7" t="str">
        <x:f>IF(B1838="","",XLOOKUP(B1838,Employees!$A$4:$A$53,Employees!$B$4:$B$53,""))</x:f>
      </x:c>
      <x:c r="D1838" s="7"/>
      <x:c r="E1838" s="10" t="n">
        <x:v>8</x:v>
      </x:c>
      <x:c r="F1838" s="10"/>
      <x:c r="G1838" s="10" t="str">
        <x:f>IF(F1838="","",MIN(F1838,E1838))</x:f>
      </x:c>
      <x:c r="H1838" s="10" t="str">
        <x:f>IF(F1838="","",MAX(0,F1838-E1838))</x:f>
      </x:c>
      <x:c r="I1838" s="24"/>
      <x:c r="J1838" s="7"/>
      <x:c r="K1838" s="8" t="str">
        <x:f>IF(A1838="","",DATE(YEAR(A1838),MONTH(A1838),1))</x:f>
      </x:c>
    </x:row>
    <x:row r="1839">
      <x:c r="A1839" s="9"/>
      <x:c r="B1839" s="7"/>
      <x:c r="C1839" s="7" t="str">
        <x:f>IF(B1839="","",XLOOKUP(B1839,Employees!$A$4:$A$53,Employees!$B$4:$B$53,""))</x:f>
      </x:c>
      <x:c r="D1839" s="7"/>
      <x:c r="E1839" s="10" t="n">
        <x:v>8</x:v>
      </x:c>
      <x:c r="F1839" s="10"/>
      <x:c r="G1839" s="10" t="str">
        <x:f>IF(F1839="","",MIN(F1839,E1839))</x:f>
      </x:c>
      <x:c r="H1839" s="10" t="str">
        <x:f>IF(F1839="","",MAX(0,F1839-E1839))</x:f>
      </x:c>
      <x:c r="I1839" s="24"/>
      <x:c r="J1839" s="7"/>
      <x:c r="K1839" s="8" t="str">
        <x:f>IF(A1839="","",DATE(YEAR(A1839),MONTH(A1839),1))</x:f>
      </x:c>
    </x:row>
    <x:row r="1840">
      <x:c r="A1840" s="9"/>
      <x:c r="B1840" s="7"/>
      <x:c r="C1840" s="7" t="str">
        <x:f>IF(B1840="","",XLOOKUP(B1840,Employees!$A$4:$A$53,Employees!$B$4:$B$53,""))</x:f>
      </x:c>
      <x:c r="D1840" s="7"/>
      <x:c r="E1840" s="10" t="n">
        <x:v>8</x:v>
      </x:c>
      <x:c r="F1840" s="10"/>
      <x:c r="G1840" s="10" t="str">
        <x:f>IF(F1840="","",MIN(F1840,E1840))</x:f>
      </x:c>
      <x:c r="H1840" s="10" t="str">
        <x:f>IF(F1840="","",MAX(0,F1840-E1840))</x:f>
      </x:c>
      <x:c r="I1840" s="24"/>
      <x:c r="J1840" s="7"/>
      <x:c r="K1840" s="8" t="str">
        <x:f>IF(A1840="","",DATE(YEAR(A1840),MONTH(A1840),1))</x:f>
      </x:c>
    </x:row>
    <x:row r="1841">
      <x:c r="A1841" s="9"/>
      <x:c r="B1841" s="7"/>
      <x:c r="C1841" s="7" t="str">
        <x:f>IF(B1841="","",XLOOKUP(B1841,Employees!$A$4:$A$53,Employees!$B$4:$B$53,""))</x:f>
      </x:c>
      <x:c r="D1841" s="7"/>
      <x:c r="E1841" s="10" t="n">
        <x:v>8</x:v>
      </x:c>
      <x:c r="F1841" s="10"/>
      <x:c r="G1841" s="10" t="str">
        <x:f>IF(F1841="","",MIN(F1841,E1841))</x:f>
      </x:c>
      <x:c r="H1841" s="10" t="str">
        <x:f>IF(F1841="","",MAX(0,F1841-E1841))</x:f>
      </x:c>
      <x:c r="I1841" s="24"/>
      <x:c r="J1841" s="7"/>
      <x:c r="K1841" s="8" t="str">
        <x:f>IF(A1841="","",DATE(YEAR(A1841),MONTH(A1841),1))</x:f>
      </x:c>
    </x:row>
    <x:row r="1842">
      <x:c r="A1842" s="9"/>
      <x:c r="B1842" s="7"/>
      <x:c r="C1842" s="7" t="str">
        <x:f>IF(B1842="","",XLOOKUP(B1842,Employees!$A$4:$A$53,Employees!$B$4:$B$53,""))</x:f>
      </x:c>
      <x:c r="D1842" s="7"/>
      <x:c r="E1842" s="10" t="n">
        <x:v>8</x:v>
      </x:c>
      <x:c r="F1842" s="10"/>
      <x:c r="G1842" s="10" t="str">
        <x:f>IF(F1842="","",MIN(F1842,E1842))</x:f>
      </x:c>
      <x:c r="H1842" s="10" t="str">
        <x:f>IF(F1842="","",MAX(0,F1842-E1842))</x:f>
      </x:c>
      <x:c r="I1842" s="24"/>
      <x:c r="J1842" s="7"/>
      <x:c r="K1842" s="8" t="str">
        <x:f>IF(A1842="","",DATE(YEAR(A1842),MONTH(A1842),1))</x:f>
      </x:c>
    </x:row>
    <x:row r="1843">
      <x:c r="A1843" s="9"/>
      <x:c r="B1843" s="7"/>
      <x:c r="C1843" s="7" t="str">
        <x:f>IF(B1843="","",XLOOKUP(B1843,Employees!$A$4:$A$53,Employees!$B$4:$B$53,""))</x:f>
      </x:c>
      <x:c r="D1843" s="7"/>
      <x:c r="E1843" s="10" t="n">
        <x:v>8</x:v>
      </x:c>
      <x:c r="F1843" s="10"/>
      <x:c r="G1843" s="10" t="str">
        <x:f>IF(F1843="","",MIN(F1843,E1843))</x:f>
      </x:c>
      <x:c r="H1843" s="10" t="str">
        <x:f>IF(F1843="","",MAX(0,F1843-E1843))</x:f>
      </x:c>
      <x:c r="I1843" s="24"/>
      <x:c r="J1843" s="7"/>
      <x:c r="K1843" s="8" t="str">
        <x:f>IF(A1843="","",DATE(YEAR(A1843),MONTH(A1843),1))</x:f>
      </x:c>
    </x:row>
    <x:row r="1844">
      <x:c r="A1844" s="9"/>
      <x:c r="B1844" s="7"/>
      <x:c r="C1844" s="7" t="str">
        <x:f>IF(B1844="","",XLOOKUP(B1844,Employees!$A$4:$A$53,Employees!$B$4:$B$53,""))</x:f>
      </x:c>
      <x:c r="D1844" s="7"/>
      <x:c r="E1844" s="10" t="n">
        <x:v>8</x:v>
      </x:c>
      <x:c r="F1844" s="10"/>
      <x:c r="G1844" s="10" t="str">
        <x:f>IF(F1844="","",MIN(F1844,E1844))</x:f>
      </x:c>
      <x:c r="H1844" s="10" t="str">
        <x:f>IF(F1844="","",MAX(0,F1844-E1844))</x:f>
      </x:c>
      <x:c r="I1844" s="24"/>
      <x:c r="J1844" s="7"/>
      <x:c r="K1844" s="8" t="str">
        <x:f>IF(A1844="","",DATE(YEAR(A1844),MONTH(A1844),1))</x:f>
      </x:c>
    </x:row>
    <x:row r="1845">
      <x:c r="A1845" s="9"/>
      <x:c r="B1845" s="7"/>
      <x:c r="C1845" s="7" t="str">
        <x:f>IF(B1845="","",XLOOKUP(B1845,Employees!$A$4:$A$53,Employees!$B$4:$B$53,""))</x:f>
      </x:c>
      <x:c r="D1845" s="7"/>
      <x:c r="E1845" s="10" t="n">
        <x:v>8</x:v>
      </x:c>
      <x:c r="F1845" s="10"/>
      <x:c r="G1845" s="10" t="str">
        <x:f>IF(F1845="","",MIN(F1845,E1845))</x:f>
      </x:c>
      <x:c r="H1845" s="10" t="str">
        <x:f>IF(F1845="","",MAX(0,F1845-E1845))</x:f>
      </x:c>
      <x:c r="I1845" s="24"/>
      <x:c r="J1845" s="7"/>
      <x:c r="K1845" s="8" t="str">
        <x:f>IF(A1845="","",DATE(YEAR(A1845),MONTH(A1845),1))</x:f>
      </x:c>
    </x:row>
    <x:row r="1846">
      <x:c r="A1846" s="9"/>
      <x:c r="B1846" s="7"/>
      <x:c r="C1846" s="7" t="str">
        <x:f>IF(B1846="","",XLOOKUP(B1846,Employees!$A$4:$A$53,Employees!$B$4:$B$53,""))</x:f>
      </x:c>
      <x:c r="D1846" s="7"/>
      <x:c r="E1846" s="10" t="n">
        <x:v>8</x:v>
      </x:c>
      <x:c r="F1846" s="10"/>
      <x:c r="G1846" s="10" t="str">
        <x:f>IF(F1846="","",MIN(F1846,E1846))</x:f>
      </x:c>
      <x:c r="H1846" s="10" t="str">
        <x:f>IF(F1846="","",MAX(0,F1846-E1846))</x:f>
      </x:c>
      <x:c r="I1846" s="24"/>
      <x:c r="J1846" s="7"/>
      <x:c r="K1846" s="8" t="str">
        <x:f>IF(A1846="","",DATE(YEAR(A1846),MONTH(A1846),1))</x:f>
      </x:c>
    </x:row>
    <x:row r="1847">
      <x:c r="A1847" s="9"/>
      <x:c r="B1847" s="7"/>
      <x:c r="C1847" s="7" t="str">
        <x:f>IF(B1847="","",XLOOKUP(B1847,Employees!$A$4:$A$53,Employees!$B$4:$B$53,""))</x:f>
      </x:c>
      <x:c r="D1847" s="7"/>
      <x:c r="E1847" s="10" t="n">
        <x:v>8</x:v>
      </x:c>
      <x:c r="F1847" s="10"/>
      <x:c r="G1847" s="10" t="str">
        <x:f>IF(F1847="","",MIN(F1847,E1847))</x:f>
      </x:c>
      <x:c r="H1847" s="10" t="str">
        <x:f>IF(F1847="","",MAX(0,F1847-E1847))</x:f>
      </x:c>
      <x:c r="I1847" s="24"/>
      <x:c r="J1847" s="7"/>
      <x:c r="K1847" s="8" t="str">
        <x:f>IF(A1847="","",DATE(YEAR(A1847),MONTH(A1847),1))</x:f>
      </x:c>
    </x:row>
    <x:row r="1848">
      <x:c r="A1848" s="9"/>
      <x:c r="B1848" s="7"/>
      <x:c r="C1848" s="7" t="str">
        <x:f>IF(B1848="","",XLOOKUP(B1848,Employees!$A$4:$A$53,Employees!$B$4:$B$53,""))</x:f>
      </x:c>
      <x:c r="D1848" s="7"/>
      <x:c r="E1848" s="10" t="n">
        <x:v>8</x:v>
      </x:c>
      <x:c r="F1848" s="10"/>
      <x:c r="G1848" s="10" t="str">
        <x:f>IF(F1848="","",MIN(F1848,E1848))</x:f>
      </x:c>
      <x:c r="H1848" s="10" t="str">
        <x:f>IF(F1848="","",MAX(0,F1848-E1848))</x:f>
      </x:c>
      <x:c r="I1848" s="24"/>
      <x:c r="J1848" s="7"/>
      <x:c r="K1848" s="8" t="str">
        <x:f>IF(A1848="","",DATE(YEAR(A1848),MONTH(A1848),1))</x:f>
      </x:c>
    </x:row>
    <x:row r="1849">
      <x:c r="A1849" s="9"/>
      <x:c r="B1849" s="7"/>
      <x:c r="C1849" s="7" t="str">
        <x:f>IF(B1849="","",XLOOKUP(B1849,Employees!$A$4:$A$53,Employees!$B$4:$B$53,""))</x:f>
      </x:c>
      <x:c r="D1849" s="7"/>
      <x:c r="E1849" s="10" t="n">
        <x:v>8</x:v>
      </x:c>
      <x:c r="F1849" s="10"/>
      <x:c r="G1849" s="10" t="str">
        <x:f>IF(F1849="","",MIN(F1849,E1849))</x:f>
      </x:c>
      <x:c r="H1849" s="10" t="str">
        <x:f>IF(F1849="","",MAX(0,F1849-E1849))</x:f>
      </x:c>
      <x:c r="I1849" s="24"/>
      <x:c r="J1849" s="7"/>
      <x:c r="K1849" s="8" t="str">
        <x:f>IF(A1849="","",DATE(YEAR(A1849),MONTH(A1849),1))</x:f>
      </x:c>
    </x:row>
    <x:row r="1850">
      <x:c r="A1850" s="9"/>
      <x:c r="B1850" s="7"/>
      <x:c r="C1850" s="7" t="str">
        <x:f>IF(B1850="","",XLOOKUP(B1850,Employees!$A$4:$A$53,Employees!$B$4:$B$53,""))</x:f>
      </x:c>
      <x:c r="D1850" s="7"/>
      <x:c r="E1850" s="10" t="n">
        <x:v>8</x:v>
      </x:c>
      <x:c r="F1850" s="10"/>
      <x:c r="G1850" s="10" t="str">
        <x:f>IF(F1850="","",MIN(F1850,E1850))</x:f>
      </x:c>
      <x:c r="H1850" s="10" t="str">
        <x:f>IF(F1850="","",MAX(0,F1850-E1850))</x:f>
      </x:c>
      <x:c r="I1850" s="24"/>
      <x:c r="J1850" s="7"/>
      <x:c r="K1850" s="8" t="str">
        <x:f>IF(A1850="","",DATE(YEAR(A1850),MONTH(A1850),1))</x:f>
      </x:c>
    </x:row>
    <x:row r="1851">
      <x:c r="A1851" s="9"/>
      <x:c r="B1851" s="7"/>
      <x:c r="C1851" s="7" t="str">
        <x:f>IF(B1851="","",XLOOKUP(B1851,Employees!$A$4:$A$53,Employees!$B$4:$B$53,""))</x:f>
      </x:c>
      <x:c r="D1851" s="7"/>
      <x:c r="E1851" s="10" t="n">
        <x:v>8</x:v>
      </x:c>
      <x:c r="F1851" s="10"/>
      <x:c r="G1851" s="10" t="str">
        <x:f>IF(F1851="","",MIN(F1851,E1851))</x:f>
      </x:c>
      <x:c r="H1851" s="10" t="str">
        <x:f>IF(F1851="","",MAX(0,F1851-E1851))</x:f>
      </x:c>
      <x:c r="I1851" s="24"/>
      <x:c r="J1851" s="7"/>
      <x:c r="K1851" s="8" t="str">
        <x:f>IF(A1851="","",DATE(YEAR(A1851),MONTH(A1851),1))</x:f>
      </x:c>
    </x:row>
    <x:row r="1852">
      <x:c r="A1852" s="9"/>
      <x:c r="B1852" s="7"/>
      <x:c r="C1852" s="7" t="str">
        <x:f>IF(B1852="","",XLOOKUP(B1852,Employees!$A$4:$A$53,Employees!$B$4:$B$53,""))</x:f>
      </x:c>
      <x:c r="D1852" s="7"/>
      <x:c r="E1852" s="10" t="n">
        <x:v>8</x:v>
      </x:c>
      <x:c r="F1852" s="10"/>
      <x:c r="G1852" s="10" t="str">
        <x:f>IF(F1852="","",MIN(F1852,E1852))</x:f>
      </x:c>
      <x:c r="H1852" s="10" t="str">
        <x:f>IF(F1852="","",MAX(0,F1852-E1852))</x:f>
      </x:c>
      <x:c r="I1852" s="24"/>
      <x:c r="J1852" s="7"/>
      <x:c r="K1852" s="8" t="str">
        <x:f>IF(A1852="","",DATE(YEAR(A1852),MONTH(A1852),1))</x:f>
      </x:c>
    </x:row>
    <x:row r="1853">
      <x:c r="A1853" s="9"/>
      <x:c r="B1853" s="7"/>
      <x:c r="C1853" s="7" t="str">
        <x:f>IF(B1853="","",XLOOKUP(B1853,Employees!$A$4:$A$53,Employees!$B$4:$B$53,""))</x:f>
      </x:c>
      <x:c r="D1853" s="7"/>
      <x:c r="E1853" s="10" t="n">
        <x:v>8</x:v>
      </x:c>
      <x:c r="F1853" s="10"/>
      <x:c r="G1853" s="10" t="str">
        <x:f>IF(F1853="","",MIN(F1853,E1853))</x:f>
      </x:c>
      <x:c r="H1853" s="10" t="str">
        <x:f>IF(F1853="","",MAX(0,F1853-E1853))</x:f>
      </x:c>
      <x:c r="I1853" s="24"/>
      <x:c r="J1853" s="7"/>
      <x:c r="K1853" s="8" t="str">
        <x:f>IF(A1853="","",DATE(YEAR(A1853),MONTH(A1853),1))</x:f>
      </x:c>
    </x:row>
    <x:row r="1854">
      <x:c r="A1854" s="9"/>
      <x:c r="B1854" s="7"/>
      <x:c r="C1854" s="7" t="str">
        <x:f>IF(B1854="","",XLOOKUP(B1854,Employees!$A$4:$A$53,Employees!$B$4:$B$53,""))</x:f>
      </x:c>
      <x:c r="D1854" s="7"/>
      <x:c r="E1854" s="10" t="n">
        <x:v>8</x:v>
      </x:c>
      <x:c r="F1854" s="10"/>
      <x:c r="G1854" s="10" t="str">
        <x:f>IF(F1854="","",MIN(F1854,E1854))</x:f>
      </x:c>
      <x:c r="H1854" s="10" t="str">
        <x:f>IF(F1854="","",MAX(0,F1854-E1854))</x:f>
      </x:c>
      <x:c r="I1854" s="24"/>
      <x:c r="J1854" s="7"/>
      <x:c r="K1854" s="8" t="str">
        <x:f>IF(A1854="","",DATE(YEAR(A1854),MONTH(A1854),1))</x:f>
      </x:c>
    </x:row>
    <x:row r="1855">
      <x:c r="A1855" s="9"/>
      <x:c r="B1855" s="7"/>
      <x:c r="C1855" s="7" t="str">
        <x:f>IF(B1855="","",XLOOKUP(B1855,Employees!$A$4:$A$53,Employees!$B$4:$B$53,""))</x:f>
      </x:c>
      <x:c r="D1855" s="7"/>
      <x:c r="E1855" s="10" t="n">
        <x:v>8</x:v>
      </x:c>
      <x:c r="F1855" s="10"/>
      <x:c r="G1855" s="10" t="str">
        <x:f>IF(F1855="","",MIN(F1855,E1855))</x:f>
      </x:c>
      <x:c r="H1855" s="10" t="str">
        <x:f>IF(F1855="","",MAX(0,F1855-E1855))</x:f>
      </x:c>
      <x:c r="I1855" s="24"/>
      <x:c r="J1855" s="7"/>
      <x:c r="K1855" s="8" t="str">
        <x:f>IF(A1855="","",DATE(YEAR(A1855),MONTH(A1855),1))</x:f>
      </x:c>
    </x:row>
    <x:row r="1856">
      <x:c r="A1856" s="9"/>
      <x:c r="B1856" s="7"/>
      <x:c r="C1856" s="7" t="str">
        <x:f>IF(B1856="","",XLOOKUP(B1856,Employees!$A$4:$A$53,Employees!$B$4:$B$53,""))</x:f>
      </x:c>
      <x:c r="D1856" s="7"/>
      <x:c r="E1856" s="10" t="n">
        <x:v>8</x:v>
      </x:c>
      <x:c r="F1856" s="10"/>
      <x:c r="G1856" s="10" t="str">
        <x:f>IF(F1856="","",MIN(F1856,E1856))</x:f>
      </x:c>
      <x:c r="H1856" s="10" t="str">
        <x:f>IF(F1856="","",MAX(0,F1856-E1856))</x:f>
      </x:c>
      <x:c r="I1856" s="24"/>
      <x:c r="J1856" s="7"/>
      <x:c r="K1856" s="8" t="str">
        <x:f>IF(A1856="","",DATE(YEAR(A1856),MONTH(A1856),1))</x:f>
      </x:c>
    </x:row>
    <x:row r="1857">
      <x:c r="A1857" s="9"/>
      <x:c r="B1857" s="7"/>
      <x:c r="C1857" s="7" t="str">
        <x:f>IF(B1857="","",XLOOKUP(B1857,Employees!$A$4:$A$53,Employees!$B$4:$B$53,""))</x:f>
      </x:c>
      <x:c r="D1857" s="7"/>
      <x:c r="E1857" s="10" t="n">
        <x:v>8</x:v>
      </x:c>
      <x:c r="F1857" s="10"/>
      <x:c r="G1857" s="10" t="str">
        <x:f>IF(F1857="","",MIN(F1857,E1857))</x:f>
      </x:c>
      <x:c r="H1857" s="10" t="str">
        <x:f>IF(F1857="","",MAX(0,F1857-E1857))</x:f>
      </x:c>
      <x:c r="I1857" s="24"/>
      <x:c r="J1857" s="7"/>
      <x:c r="K1857" s="8" t="str">
        <x:f>IF(A1857="","",DATE(YEAR(A1857),MONTH(A1857),1))</x:f>
      </x:c>
    </x:row>
    <x:row r="1858">
      <x:c r="A1858" s="9"/>
      <x:c r="B1858" s="7"/>
      <x:c r="C1858" s="7" t="str">
        <x:f>IF(B1858="","",XLOOKUP(B1858,Employees!$A$4:$A$53,Employees!$B$4:$B$53,""))</x:f>
      </x:c>
      <x:c r="D1858" s="7"/>
      <x:c r="E1858" s="10" t="n">
        <x:v>8</x:v>
      </x:c>
      <x:c r="F1858" s="10"/>
      <x:c r="G1858" s="10" t="str">
        <x:f>IF(F1858="","",MIN(F1858,E1858))</x:f>
      </x:c>
      <x:c r="H1858" s="10" t="str">
        <x:f>IF(F1858="","",MAX(0,F1858-E1858))</x:f>
      </x:c>
      <x:c r="I1858" s="24"/>
      <x:c r="J1858" s="7"/>
      <x:c r="K1858" s="8" t="str">
        <x:f>IF(A1858="","",DATE(YEAR(A1858),MONTH(A1858),1))</x:f>
      </x:c>
    </x:row>
    <x:row r="1859">
      <x:c r="A1859" s="9"/>
      <x:c r="B1859" s="7"/>
      <x:c r="C1859" s="7" t="str">
        <x:f>IF(B1859="","",XLOOKUP(B1859,Employees!$A$4:$A$53,Employees!$B$4:$B$53,""))</x:f>
      </x:c>
      <x:c r="D1859" s="7"/>
      <x:c r="E1859" s="10" t="n">
        <x:v>8</x:v>
      </x:c>
      <x:c r="F1859" s="10"/>
      <x:c r="G1859" s="10" t="str">
        <x:f>IF(F1859="","",MIN(F1859,E1859))</x:f>
      </x:c>
      <x:c r="H1859" s="10" t="str">
        <x:f>IF(F1859="","",MAX(0,F1859-E1859))</x:f>
      </x:c>
      <x:c r="I1859" s="24"/>
      <x:c r="J1859" s="7"/>
      <x:c r="K1859" s="8" t="str">
        <x:f>IF(A1859="","",DATE(YEAR(A1859),MONTH(A1859),1))</x:f>
      </x:c>
    </x:row>
    <x:row r="1860">
      <x:c r="A1860" s="9"/>
      <x:c r="B1860" s="7"/>
      <x:c r="C1860" s="7" t="str">
        <x:f>IF(B1860="","",XLOOKUP(B1860,Employees!$A$4:$A$53,Employees!$B$4:$B$53,""))</x:f>
      </x:c>
      <x:c r="D1860" s="7"/>
      <x:c r="E1860" s="10" t="n">
        <x:v>8</x:v>
      </x:c>
      <x:c r="F1860" s="10"/>
      <x:c r="G1860" s="10" t="str">
        <x:f>IF(F1860="","",MIN(F1860,E1860))</x:f>
      </x:c>
      <x:c r="H1860" s="10" t="str">
        <x:f>IF(F1860="","",MAX(0,F1860-E1860))</x:f>
      </x:c>
      <x:c r="I1860" s="24"/>
      <x:c r="J1860" s="7"/>
      <x:c r="K1860" s="8" t="str">
        <x:f>IF(A1860="","",DATE(YEAR(A1860),MONTH(A1860),1))</x:f>
      </x:c>
    </x:row>
    <x:row r="1861">
      <x:c r="A1861" s="9"/>
      <x:c r="B1861" s="7"/>
      <x:c r="C1861" s="7" t="str">
        <x:f>IF(B1861="","",XLOOKUP(B1861,Employees!$A$4:$A$53,Employees!$B$4:$B$53,""))</x:f>
      </x:c>
      <x:c r="D1861" s="7"/>
      <x:c r="E1861" s="10" t="n">
        <x:v>8</x:v>
      </x:c>
      <x:c r="F1861" s="10"/>
      <x:c r="G1861" s="10" t="str">
        <x:f>IF(F1861="","",MIN(F1861,E1861))</x:f>
      </x:c>
      <x:c r="H1861" s="10" t="str">
        <x:f>IF(F1861="","",MAX(0,F1861-E1861))</x:f>
      </x:c>
      <x:c r="I1861" s="24"/>
      <x:c r="J1861" s="7"/>
      <x:c r="K1861" s="8" t="str">
        <x:f>IF(A1861="","",DATE(YEAR(A1861),MONTH(A1861),1))</x:f>
      </x:c>
    </x:row>
    <x:row r="1862">
      <x:c r="A1862" s="9"/>
      <x:c r="B1862" s="7"/>
      <x:c r="C1862" s="7" t="str">
        <x:f>IF(B1862="","",XLOOKUP(B1862,Employees!$A$4:$A$53,Employees!$B$4:$B$53,""))</x:f>
      </x:c>
      <x:c r="D1862" s="7"/>
      <x:c r="E1862" s="10" t="n">
        <x:v>8</x:v>
      </x:c>
      <x:c r="F1862" s="10"/>
      <x:c r="G1862" s="10" t="str">
        <x:f>IF(F1862="","",MIN(F1862,E1862))</x:f>
      </x:c>
      <x:c r="H1862" s="10" t="str">
        <x:f>IF(F1862="","",MAX(0,F1862-E1862))</x:f>
      </x:c>
      <x:c r="I1862" s="24"/>
      <x:c r="J1862" s="7"/>
      <x:c r="K1862" s="8" t="str">
        <x:f>IF(A1862="","",DATE(YEAR(A1862),MONTH(A1862),1))</x:f>
      </x:c>
    </x:row>
    <x:row r="1863">
      <x:c r="A1863" s="9"/>
      <x:c r="B1863" s="7"/>
      <x:c r="C1863" s="7" t="str">
        <x:f>IF(B1863="","",XLOOKUP(B1863,Employees!$A$4:$A$53,Employees!$B$4:$B$53,""))</x:f>
      </x:c>
      <x:c r="D1863" s="7"/>
      <x:c r="E1863" s="10" t="n">
        <x:v>8</x:v>
      </x:c>
      <x:c r="F1863" s="10"/>
      <x:c r="G1863" s="10" t="str">
        <x:f>IF(F1863="","",MIN(F1863,E1863))</x:f>
      </x:c>
      <x:c r="H1863" s="10" t="str">
        <x:f>IF(F1863="","",MAX(0,F1863-E1863))</x:f>
      </x:c>
      <x:c r="I1863" s="24"/>
      <x:c r="J1863" s="7"/>
      <x:c r="K1863" s="8" t="str">
        <x:f>IF(A1863="","",DATE(YEAR(A1863),MONTH(A1863),1))</x:f>
      </x:c>
    </x:row>
    <x:row r="1864">
      <x:c r="A1864" s="9"/>
      <x:c r="B1864" s="7"/>
      <x:c r="C1864" s="7" t="str">
        <x:f>IF(B1864="","",XLOOKUP(B1864,Employees!$A$4:$A$53,Employees!$B$4:$B$53,""))</x:f>
      </x:c>
      <x:c r="D1864" s="7"/>
      <x:c r="E1864" s="10" t="n">
        <x:v>8</x:v>
      </x:c>
      <x:c r="F1864" s="10"/>
      <x:c r="G1864" s="10" t="str">
        <x:f>IF(F1864="","",MIN(F1864,E1864))</x:f>
      </x:c>
      <x:c r="H1864" s="10" t="str">
        <x:f>IF(F1864="","",MAX(0,F1864-E1864))</x:f>
      </x:c>
      <x:c r="I1864" s="24"/>
      <x:c r="J1864" s="7"/>
      <x:c r="K1864" s="8" t="str">
        <x:f>IF(A1864="","",DATE(YEAR(A1864),MONTH(A1864),1))</x:f>
      </x:c>
    </x:row>
    <x:row r="1865">
      <x:c r="A1865" s="9"/>
      <x:c r="B1865" s="7"/>
      <x:c r="C1865" s="7" t="str">
        <x:f>IF(B1865="","",XLOOKUP(B1865,Employees!$A$4:$A$53,Employees!$B$4:$B$53,""))</x:f>
      </x:c>
      <x:c r="D1865" s="7"/>
      <x:c r="E1865" s="10" t="n">
        <x:v>8</x:v>
      </x:c>
      <x:c r="F1865" s="10"/>
      <x:c r="G1865" s="10" t="str">
        <x:f>IF(F1865="","",MIN(F1865,E1865))</x:f>
      </x:c>
      <x:c r="H1865" s="10" t="str">
        <x:f>IF(F1865="","",MAX(0,F1865-E1865))</x:f>
      </x:c>
      <x:c r="I1865" s="24"/>
      <x:c r="J1865" s="7"/>
      <x:c r="K1865" s="8" t="str">
        <x:f>IF(A1865="","",DATE(YEAR(A1865),MONTH(A1865),1))</x:f>
      </x:c>
    </x:row>
    <x:row r="1866">
      <x:c r="A1866" s="9"/>
      <x:c r="B1866" s="7"/>
      <x:c r="C1866" s="7" t="str">
        <x:f>IF(B1866="","",XLOOKUP(B1866,Employees!$A$4:$A$53,Employees!$B$4:$B$53,""))</x:f>
      </x:c>
      <x:c r="D1866" s="7"/>
      <x:c r="E1866" s="10" t="n">
        <x:v>8</x:v>
      </x:c>
      <x:c r="F1866" s="10"/>
      <x:c r="G1866" s="10" t="str">
        <x:f>IF(F1866="","",MIN(F1866,E1866))</x:f>
      </x:c>
      <x:c r="H1866" s="10" t="str">
        <x:f>IF(F1866="","",MAX(0,F1866-E1866))</x:f>
      </x:c>
      <x:c r="I1866" s="24"/>
      <x:c r="J1866" s="7"/>
      <x:c r="K1866" s="8" t="str">
        <x:f>IF(A1866="","",DATE(YEAR(A1866),MONTH(A1866),1))</x:f>
      </x:c>
    </x:row>
    <x:row r="1867">
      <x:c r="A1867" s="9"/>
      <x:c r="B1867" s="7"/>
      <x:c r="C1867" s="7" t="str">
        <x:f>IF(B1867="","",XLOOKUP(B1867,Employees!$A$4:$A$53,Employees!$B$4:$B$53,""))</x:f>
      </x:c>
      <x:c r="D1867" s="7"/>
      <x:c r="E1867" s="10" t="n">
        <x:v>8</x:v>
      </x:c>
      <x:c r="F1867" s="10"/>
      <x:c r="G1867" s="10" t="str">
        <x:f>IF(F1867="","",MIN(F1867,E1867))</x:f>
      </x:c>
      <x:c r="H1867" s="10" t="str">
        <x:f>IF(F1867="","",MAX(0,F1867-E1867))</x:f>
      </x:c>
      <x:c r="I1867" s="24"/>
      <x:c r="J1867" s="7"/>
      <x:c r="K1867" s="8" t="str">
        <x:f>IF(A1867="","",DATE(YEAR(A1867),MONTH(A1867),1))</x:f>
      </x:c>
    </x:row>
    <x:row r="1868">
      <x:c r="A1868" s="9"/>
      <x:c r="B1868" s="7"/>
      <x:c r="C1868" s="7" t="str">
        <x:f>IF(B1868="","",XLOOKUP(B1868,Employees!$A$4:$A$53,Employees!$B$4:$B$53,""))</x:f>
      </x:c>
      <x:c r="D1868" s="7"/>
      <x:c r="E1868" s="10" t="n">
        <x:v>8</x:v>
      </x:c>
      <x:c r="F1868" s="10"/>
      <x:c r="G1868" s="10" t="str">
        <x:f>IF(F1868="","",MIN(F1868,E1868))</x:f>
      </x:c>
      <x:c r="H1868" s="10" t="str">
        <x:f>IF(F1868="","",MAX(0,F1868-E1868))</x:f>
      </x:c>
      <x:c r="I1868" s="24"/>
      <x:c r="J1868" s="7"/>
      <x:c r="K1868" s="8" t="str">
        <x:f>IF(A1868="","",DATE(YEAR(A1868),MONTH(A1868),1))</x:f>
      </x:c>
    </x:row>
    <x:row r="1869">
      <x:c r="A1869" s="9"/>
      <x:c r="B1869" s="7"/>
      <x:c r="C1869" s="7" t="str">
        <x:f>IF(B1869="","",XLOOKUP(B1869,Employees!$A$4:$A$53,Employees!$B$4:$B$53,""))</x:f>
      </x:c>
      <x:c r="D1869" s="7"/>
      <x:c r="E1869" s="10" t="n">
        <x:v>8</x:v>
      </x:c>
      <x:c r="F1869" s="10"/>
      <x:c r="G1869" s="10" t="str">
        <x:f>IF(F1869="","",MIN(F1869,E1869))</x:f>
      </x:c>
      <x:c r="H1869" s="10" t="str">
        <x:f>IF(F1869="","",MAX(0,F1869-E1869))</x:f>
      </x:c>
      <x:c r="I1869" s="24"/>
      <x:c r="J1869" s="7"/>
      <x:c r="K1869" s="8" t="str">
        <x:f>IF(A1869="","",DATE(YEAR(A1869),MONTH(A1869),1))</x:f>
      </x:c>
    </x:row>
    <x:row r="1870">
      <x:c r="A1870" s="9"/>
      <x:c r="B1870" s="7"/>
      <x:c r="C1870" s="7" t="str">
        <x:f>IF(B1870="","",XLOOKUP(B1870,Employees!$A$4:$A$53,Employees!$B$4:$B$53,""))</x:f>
      </x:c>
      <x:c r="D1870" s="7"/>
      <x:c r="E1870" s="10" t="n">
        <x:v>8</x:v>
      </x:c>
      <x:c r="F1870" s="10"/>
      <x:c r="G1870" s="10" t="str">
        <x:f>IF(F1870="","",MIN(F1870,E1870))</x:f>
      </x:c>
      <x:c r="H1870" s="10" t="str">
        <x:f>IF(F1870="","",MAX(0,F1870-E1870))</x:f>
      </x:c>
      <x:c r="I1870" s="24"/>
      <x:c r="J1870" s="7"/>
      <x:c r="K1870" s="8" t="str">
        <x:f>IF(A1870="","",DATE(YEAR(A1870),MONTH(A1870),1))</x:f>
      </x:c>
    </x:row>
    <x:row r="1871">
      <x:c r="A1871" s="9"/>
      <x:c r="B1871" s="7"/>
      <x:c r="C1871" s="7" t="str">
        <x:f>IF(B1871="","",XLOOKUP(B1871,Employees!$A$4:$A$53,Employees!$B$4:$B$53,""))</x:f>
      </x:c>
      <x:c r="D1871" s="7"/>
      <x:c r="E1871" s="10" t="n">
        <x:v>8</x:v>
      </x:c>
      <x:c r="F1871" s="10"/>
      <x:c r="G1871" s="10" t="str">
        <x:f>IF(F1871="","",MIN(F1871,E1871))</x:f>
      </x:c>
      <x:c r="H1871" s="10" t="str">
        <x:f>IF(F1871="","",MAX(0,F1871-E1871))</x:f>
      </x:c>
      <x:c r="I1871" s="24"/>
      <x:c r="J1871" s="7"/>
      <x:c r="K1871" s="8" t="str">
        <x:f>IF(A1871="","",DATE(YEAR(A1871),MONTH(A1871),1))</x:f>
      </x:c>
    </x:row>
    <x:row r="1872">
      <x:c r="A1872" s="9"/>
      <x:c r="B1872" s="7"/>
      <x:c r="C1872" s="7" t="str">
        <x:f>IF(B1872="","",XLOOKUP(B1872,Employees!$A$4:$A$53,Employees!$B$4:$B$53,""))</x:f>
      </x:c>
      <x:c r="D1872" s="7"/>
      <x:c r="E1872" s="10" t="n">
        <x:v>8</x:v>
      </x:c>
      <x:c r="F1872" s="10"/>
      <x:c r="G1872" s="10" t="str">
        <x:f>IF(F1872="","",MIN(F1872,E1872))</x:f>
      </x:c>
      <x:c r="H1872" s="10" t="str">
        <x:f>IF(F1872="","",MAX(0,F1872-E1872))</x:f>
      </x:c>
      <x:c r="I1872" s="24"/>
      <x:c r="J1872" s="7"/>
      <x:c r="K1872" s="8" t="str">
        <x:f>IF(A1872="","",DATE(YEAR(A1872),MONTH(A1872),1))</x:f>
      </x:c>
    </x:row>
    <x:row r="1873">
      <x:c r="A1873" s="9"/>
      <x:c r="B1873" s="7"/>
      <x:c r="C1873" s="7" t="str">
        <x:f>IF(B1873="","",XLOOKUP(B1873,Employees!$A$4:$A$53,Employees!$B$4:$B$53,""))</x:f>
      </x:c>
      <x:c r="D1873" s="7"/>
      <x:c r="E1873" s="10" t="n">
        <x:v>8</x:v>
      </x:c>
      <x:c r="F1873" s="10"/>
      <x:c r="G1873" s="10" t="str">
        <x:f>IF(F1873="","",MIN(F1873,E1873))</x:f>
      </x:c>
      <x:c r="H1873" s="10" t="str">
        <x:f>IF(F1873="","",MAX(0,F1873-E1873))</x:f>
      </x:c>
      <x:c r="I1873" s="24"/>
      <x:c r="J1873" s="7"/>
      <x:c r="K1873" s="8" t="str">
        <x:f>IF(A1873="","",DATE(YEAR(A1873),MONTH(A1873),1))</x:f>
      </x:c>
    </x:row>
    <x:row r="1874">
      <x:c r="A1874" s="9"/>
      <x:c r="B1874" s="7"/>
      <x:c r="C1874" s="7" t="str">
        <x:f>IF(B1874="","",XLOOKUP(B1874,Employees!$A$4:$A$53,Employees!$B$4:$B$53,""))</x:f>
      </x:c>
      <x:c r="D1874" s="7"/>
      <x:c r="E1874" s="10" t="n">
        <x:v>8</x:v>
      </x:c>
      <x:c r="F1874" s="10"/>
      <x:c r="G1874" s="10" t="str">
        <x:f>IF(F1874="","",MIN(F1874,E1874))</x:f>
      </x:c>
      <x:c r="H1874" s="10" t="str">
        <x:f>IF(F1874="","",MAX(0,F1874-E1874))</x:f>
      </x:c>
      <x:c r="I1874" s="24"/>
      <x:c r="J1874" s="7"/>
      <x:c r="K1874" s="8" t="str">
        <x:f>IF(A1874="","",DATE(YEAR(A1874),MONTH(A1874),1))</x:f>
      </x:c>
    </x:row>
    <x:row r="1875">
      <x:c r="A1875" s="9"/>
      <x:c r="B1875" s="7"/>
      <x:c r="C1875" s="7" t="str">
        <x:f>IF(B1875="","",XLOOKUP(B1875,Employees!$A$4:$A$53,Employees!$B$4:$B$53,""))</x:f>
      </x:c>
      <x:c r="D1875" s="7"/>
      <x:c r="E1875" s="10" t="n">
        <x:v>8</x:v>
      </x:c>
      <x:c r="F1875" s="10"/>
      <x:c r="G1875" s="10" t="str">
        <x:f>IF(F1875="","",MIN(F1875,E1875))</x:f>
      </x:c>
      <x:c r="H1875" s="10" t="str">
        <x:f>IF(F1875="","",MAX(0,F1875-E1875))</x:f>
      </x:c>
      <x:c r="I1875" s="24"/>
      <x:c r="J1875" s="7"/>
      <x:c r="K1875" s="8" t="str">
        <x:f>IF(A1875="","",DATE(YEAR(A1875),MONTH(A1875),1))</x:f>
      </x:c>
    </x:row>
    <x:row r="1876">
      <x:c r="A1876" s="9"/>
      <x:c r="B1876" s="7"/>
      <x:c r="C1876" s="7" t="str">
        <x:f>IF(B1876="","",XLOOKUP(B1876,Employees!$A$4:$A$53,Employees!$B$4:$B$53,""))</x:f>
      </x:c>
      <x:c r="D1876" s="7"/>
      <x:c r="E1876" s="10" t="n">
        <x:v>8</x:v>
      </x:c>
      <x:c r="F1876" s="10"/>
      <x:c r="G1876" s="10" t="str">
        <x:f>IF(F1876="","",MIN(F1876,E1876))</x:f>
      </x:c>
      <x:c r="H1876" s="10" t="str">
        <x:f>IF(F1876="","",MAX(0,F1876-E1876))</x:f>
      </x:c>
      <x:c r="I1876" s="24"/>
      <x:c r="J1876" s="7"/>
      <x:c r="K1876" s="8" t="str">
        <x:f>IF(A1876="","",DATE(YEAR(A1876),MONTH(A1876),1))</x:f>
      </x:c>
    </x:row>
    <x:row r="1877">
      <x:c r="A1877" s="9"/>
      <x:c r="B1877" s="7"/>
      <x:c r="C1877" s="7" t="str">
        <x:f>IF(B1877="","",XLOOKUP(B1877,Employees!$A$4:$A$53,Employees!$B$4:$B$53,""))</x:f>
      </x:c>
      <x:c r="D1877" s="7"/>
      <x:c r="E1877" s="10" t="n">
        <x:v>8</x:v>
      </x:c>
      <x:c r="F1877" s="10"/>
      <x:c r="G1877" s="10" t="str">
        <x:f>IF(F1877="","",MIN(F1877,E1877))</x:f>
      </x:c>
      <x:c r="H1877" s="10" t="str">
        <x:f>IF(F1877="","",MAX(0,F1877-E1877))</x:f>
      </x:c>
      <x:c r="I1877" s="24"/>
      <x:c r="J1877" s="7"/>
      <x:c r="K1877" s="8" t="str">
        <x:f>IF(A1877="","",DATE(YEAR(A1877),MONTH(A1877),1))</x:f>
      </x:c>
    </x:row>
    <x:row r="1878">
      <x:c r="A1878" s="9"/>
      <x:c r="B1878" s="7"/>
      <x:c r="C1878" s="7" t="str">
        <x:f>IF(B1878="","",XLOOKUP(B1878,Employees!$A$4:$A$53,Employees!$B$4:$B$53,""))</x:f>
      </x:c>
      <x:c r="D1878" s="7"/>
      <x:c r="E1878" s="10" t="n">
        <x:v>8</x:v>
      </x:c>
      <x:c r="F1878" s="10"/>
      <x:c r="G1878" s="10" t="str">
        <x:f>IF(F1878="","",MIN(F1878,E1878))</x:f>
      </x:c>
      <x:c r="H1878" s="10" t="str">
        <x:f>IF(F1878="","",MAX(0,F1878-E1878))</x:f>
      </x:c>
      <x:c r="I1878" s="24"/>
      <x:c r="J1878" s="7"/>
      <x:c r="K1878" s="8" t="str">
        <x:f>IF(A1878="","",DATE(YEAR(A1878),MONTH(A1878),1))</x:f>
      </x:c>
    </x:row>
    <x:row r="1879">
      <x:c r="A1879" s="9"/>
      <x:c r="B1879" s="7"/>
      <x:c r="C1879" s="7" t="str">
        <x:f>IF(B1879="","",XLOOKUP(B1879,Employees!$A$4:$A$53,Employees!$B$4:$B$53,""))</x:f>
      </x:c>
      <x:c r="D1879" s="7"/>
      <x:c r="E1879" s="10" t="n">
        <x:v>8</x:v>
      </x:c>
      <x:c r="F1879" s="10"/>
      <x:c r="G1879" s="10" t="str">
        <x:f>IF(F1879="","",MIN(F1879,E1879))</x:f>
      </x:c>
      <x:c r="H1879" s="10" t="str">
        <x:f>IF(F1879="","",MAX(0,F1879-E1879))</x:f>
      </x:c>
      <x:c r="I1879" s="24"/>
      <x:c r="J1879" s="7"/>
      <x:c r="K1879" s="8" t="str">
        <x:f>IF(A1879="","",DATE(YEAR(A1879),MONTH(A1879),1))</x:f>
      </x:c>
    </x:row>
    <x:row r="1880">
      <x:c r="A1880" s="9"/>
      <x:c r="B1880" s="7"/>
      <x:c r="C1880" s="7" t="str">
        <x:f>IF(B1880="","",XLOOKUP(B1880,Employees!$A$4:$A$53,Employees!$B$4:$B$53,""))</x:f>
      </x:c>
      <x:c r="D1880" s="7"/>
      <x:c r="E1880" s="10" t="n">
        <x:v>8</x:v>
      </x:c>
      <x:c r="F1880" s="10"/>
      <x:c r="G1880" s="10" t="str">
        <x:f>IF(F1880="","",MIN(F1880,E1880))</x:f>
      </x:c>
      <x:c r="H1880" s="10" t="str">
        <x:f>IF(F1880="","",MAX(0,F1880-E1880))</x:f>
      </x:c>
      <x:c r="I1880" s="24"/>
      <x:c r="J1880" s="7"/>
      <x:c r="K1880" s="8" t="str">
        <x:f>IF(A1880="","",DATE(YEAR(A1880),MONTH(A1880),1))</x:f>
      </x:c>
    </x:row>
    <x:row r="1881">
      <x:c r="A1881" s="9"/>
      <x:c r="B1881" s="7"/>
      <x:c r="C1881" s="7" t="str">
        <x:f>IF(B1881="","",XLOOKUP(B1881,Employees!$A$4:$A$53,Employees!$B$4:$B$53,""))</x:f>
      </x:c>
      <x:c r="D1881" s="7"/>
      <x:c r="E1881" s="10" t="n">
        <x:v>8</x:v>
      </x:c>
      <x:c r="F1881" s="10"/>
      <x:c r="G1881" s="10" t="str">
        <x:f>IF(F1881="","",MIN(F1881,E1881))</x:f>
      </x:c>
      <x:c r="H1881" s="10" t="str">
        <x:f>IF(F1881="","",MAX(0,F1881-E1881))</x:f>
      </x:c>
      <x:c r="I1881" s="24"/>
      <x:c r="J1881" s="7"/>
      <x:c r="K1881" s="8" t="str">
        <x:f>IF(A1881="","",DATE(YEAR(A1881),MONTH(A1881),1))</x:f>
      </x:c>
    </x:row>
    <x:row r="1882">
      <x:c r="A1882" s="9"/>
      <x:c r="B1882" s="7"/>
      <x:c r="C1882" s="7" t="str">
        <x:f>IF(B1882="","",XLOOKUP(B1882,Employees!$A$4:$A$53,Employees!$B$4:$B$53,""))</x:f>
      </x:c>
      <x:c r="D1882" s="7"/>
      <x:c r="E1882" s="10" t="n">
        <x:v>8</x:v>
      </x:c>
      <x:c r="F1882" s="10"/>
      <x:c r="G1882" s="10" t="str">
        <x:f>IF(F1882="","",MIN(F1882,E1882))</x:f>
      </x:c>
      <x:c r="H1882" s="10" t="str">
        <x:f>IF(F1882="","",MAX(0,F1882-E1882))</x:f>
      </x:c>
      <x:c r="I1882" s="24"/>
      <x:c r="J1882" s="7"/>
      <x:c r="K1882" s="8" t="str">
        <x:f>IF(A1882="","",DATE(YEAR(A1882),MONTH(A1882),1))</x:f>
      </x:c>
    </x:row>
    <x:row r="1883">
      <x:c r="A1883" s="9"/>
      <x:c r="B1883" s="7"/>
      <x:c r="C1883" s="7" t="str">
        <x:f>IF(B1883="","",XLOOKUP(B1883,Employees!$A$4:$A$53,Employees!$B$4:$B$53,""))</x:f>
      </x:c>
      <x:c r="D1883" s="7"/>
      <x:c r="E1883" s="10" t="n">
        <x:v>8</x:v>
      </x:c>
      <x:c r="F1883" s="10"/>
      <x:c r="G1883" s="10" t="str">
        <x:f>IF(F1883="","",MIN(F1883,E1883))</x:f>
      </x:c>
      <x:c r="H1883" s="10" t="str">
        <x:f>IF(F1883="","",MAX(0,F1883-E1883))</x:f>
      </x:c>
      <x:c r="I1883" s="24"/>
      <x:c r="J1883" s="7"/>
      <x:c r="K1883" s="8" t="str">
        <x:f>IF(A1883="","",DATE(YEAR(A1883),MONTH(A1883),1))</x:f>
      </x:c>
    </x:row>
    <x:row r="1884">
      <x:c r="A1884" s="9"/>
      <x:c r="B1884" s="7"/>
      <x:c r="C1884" s="7" t="str">
        <x:f>IF(B1884="","",XLOOKUP(B1884,Employees!$A$4:$A$53,Employees!$B$4:$B$53,""))</x:f>
      </x:c>
      <x:c r="D1884" s="7"/>
      <x:c r="E1884" s="10" t="n">
        <x:v>8</x:v>
      </x:c>
      <x:c r="F1884" s="10"/>
      <x:c r="G1884" s="10" t="str">
        <x:f>IF(F1884="","",MIN(F1884,E1884))</x:f>
      </x:c>
      <x:c r="H1884" s="10" t="str">
        <x:f>IF(F1884="","",MAX(0,F1884-E1884))</x:f>
      </x:c>
      <x:c r="I1884" s="24"/>
      <x:c r="J1884" s="7"/>
      <x:c r="K1884" s="8" t="str">
        <x:f>IF(A1884="","",DATE(YEAR(A1884),MONTH(A1884),1))</x:f>
      </x:c>
    </x:row>
    <x:row r="1885">
      <x:c r="A1885" s="9"/>
      <x:c r="B1885" s="7"/>
      <x:c r="C1885" s="7" t="str">
        <x:f>IF(B1885="","",XLOOKUP(B1885,Employees!$A$4:$A$53,Employees!$B$4:$B$53,""))</x:f>
      </x:c>
      <x:c r="D1885" s="7"/>
      <x:c r="E1885" s="10" t="n">
        <x:v>8</x:v>
      </x:c>
      <x:c r="F1885" s="10"/>
      <x:c r="G1885" s="10" t="str">
        <x:f>IF(F1885="","",MIN(F1885,E1885))</x:f>
      </x:c>
      <x:c r="H1885" s="10" t="str">
        <x:f>IF(F1885="","",MAX(0,F1885-E1885))</x:f>
      </x:c>
      <x:c r="I1885" s="24"/>
      <x:c r="J1885" s="7"/>
      <x:c r="K1885" s="8" t="str">
        <x:f>IF(A1885="","",DATE(YEAR(A1885),MONTH(A1885),1))</x:f>
      </x:c>
    </x:row>
    <x:row r="1886">
      <x:c r="A1886" s="9"/>
      <x:c r="B1886" s="7"/>
      <x:c r="C1886" s="7" t="str">
        <x:f>IF(B1886="","",XLOOKUP(B1886,Employees!$A$4:$A$53,Employees!$B$4:$B$53,""))</x:f>
      </x:c>
      <x:c r="D1886" s="7"/>
      <x:c r="E1886" s="10" t="n">
        <x:v>8</x:v>
      </x:c>
      <x:c r="F1886" s="10"/>
      <x:c r="G1886" s="10" t="str">
        <x:f>IF(F1886="","",MIN(F1886,E1886))</x:f>
      </x:c>
      <x:c r="H1886" s="10" t="str">
        <x:f>IF(F1886="","",MAX(0,F1886-E1886))</x:f>
      </x:c>
      <x:c r="I1886" s="24"/>
      <x:c r="J1886" s="7"/>
      <x:c r="K1886" s="8" t="str">
        <x:f>IF(A1886="","",DATE(YEAR(A1886),MONTH(A1886),1))</x:f>
      </x:c>
    </x:row>
    <x:row r="1887">
      <x:c r="A1887" s="9"/>
      <x:c r="B1887" s="7"/>
      <x:c r="C1887" s="7" t="str">
        <x:f>IF(B1887="","",XLOOKUP(B1887,Employees!$A$4:$A$53,Employees!$B$4:$B$53,""))</x:f>
      </x:c>
      <x:c r="D1887" s="7"/>
      <x:c r="E1887" s="10" t="n">
        <x:v>8</x:v>
      </x:c>
      <x:c r="F1887" s="10"/>
      <x:c r="G1887" s="10" t="str">
        <x:f>IF(F1887="","",MIN(F1887,E1887))</x:f>
      </x:c>
      <x:c r="H1887" s="10" t="str">
        <x:f>IF(F1887="","",MAX(0,F1887-E1887))</x:f>
      </x:c>
      <x:c r="I1887" s="24"/>
      <x:c r="J1887" s="7"/>
      <x:c r="K1887" s="8" t="str">
        <x:f>IF(A1887="","",DATE(YEAR(A1887),MONTH(A1887),1))</x:f>
      </x:c>
    </x:row>
    <x:row r="1888">
      <x:c r="A1888" s="9"/>
      <x:c r="B1888" s="7"/>
      <x:c r="C1888" s="7" t="str">
        <x:f>IF(B1888="","",XLOOKUP(B1888,Employees!$A$4:$A$53,Employees!$B$4:$B$53,""))</x:f>
      </x:c>
      <x:c r="D1888" s="7"/>
      <x:c r="E1888" s="10" t="n">
        <x:v>8</x:v>
      </x:c>
      <x:c r="F1888" s="10"/>
      <x:c r="G1888" s="10" t="str">
        <x:f>IF(F1888="","",MIN(F1888,E1888))</x:f>
      </x:c>
      <x:c r="H1888" s="10" t="str">
        <x:f>IF(F1888="","",MAX(0,F1888-E1888))</x:f>
      </x:c>
      <x:c r="I1888" s="24"/>
      <x:c r="J1888" s="7"/>
      <x:c r="K1888" s="8" t="str">
        <x:f>IF(A1888="","",DATE(YEAR(A1888),MONTH(A1888),1))</x:f>
      </x:c>
    </x:row>
    <x:row r="1889">
      <x:c r="A1889" s="9"/>
      <x:c r="B1889" s="7"/>
      <x:c r="C1889" s="7" t="str">
        <x:f>IF(B1889="","",XLOOKUP(B1889,Employees!$A$4:$A$53,Employees!$B$4:$B$53,""))</x:f>
      </x:c>
      <x:c r="D1889" s="7"/>
      <x:c r="E1889" s="10" t="n">
        <x:v>8</x:v>
      </x:c>
      <x:c r="F1889" s="10"/>
      <x:c r="G1889" s="10" t="str">
        <x:f>IF(F1889="","",MIN(F1889,E1889))</x:f>
      </x:c>
      <x:c r="H1889" s="10" t="str">
        <x:f>IF(F1889="","",MAX(0,F1889-E1889))</x:f>
      </x:c>
      <x:c r="I1889" s="24"/>
      <x:c r="J1889" s="7"/>
      <x:c r="K1889" s="8" t="str">
        <x:f>IF(A1889="","",DATE(YEAR(A1889),MONTH(A1889),1))</x:f>
      </x:c>
    </x:row>
    <x:row r="1890">
      <x:c r="A1890" s="9"/>
      <x:c r="B1890" s="7"/>
      <x:c r="C1890" s="7" t="str">
        <x:f>IF(B1890="","",XLOOKUP(B1890,Employees!$A$4:$A$53,Employees!$B$4:$B$53,""))</x:f>
      </x:c>
      <x:c r="D1890" s="7"/>
      <x:c r="E1890" s="10" t="n">
        <x:v>8</x:v>
      </x:c>
      <x:c r="F1890" s="10"/>
      <x:c r="G1890" s="10" t="str">
        <x:f>IF(F1890="","",MIN(F1890,E1890))</x:f>
      </x:c>
      <x:c r="H1890" s="10" t="str">
        <x:f>IF(F1890="","",MAX(0,F1890-E1890))</x:f>
      </x:c>
      <x:c r="I1890" s="24"/>
      <x:c r="J1890" s="7"/>
      <x:c r="K1890" s="8" t="str">
        <x:f>IF(A1890="","",DATE(YEAR(A1890),MONTH(A1890),1))</x:f>
      </x:c>
    </x:row>
    <x:row r="1891">
      <x:c r="A1891" s="9"/>
      <x:c r="B1891" s="7"/>
      <x:c r="C1891" s="7" t="str">
        <x:f>IF(B1891="","",XLOOKUP(B1891,Employees!$A$4:$A$53,Employees!$B$4:$B$53,""))</x:f>
      </x:c>
      <x:c r="D1891" s="7"/>
      <x:c r="E1891" s="10" t="n">
        <x:v>8</x:v>
      </x:c>
      <x:c r="F1891" s="10"/>
      <x:c r="G1891" s="10" t="str">
        <x:f>IF(F1891="","",MIN(F1891,E1891))</x:f>
      </x:c>
      <x:c r="H1891" s="10" t="str">
        <x:f>IF(F1891="","",MAX(0,F1891-E1891))</x:f>
      </x:c>
      <x:c r="I1891" s="24"/>
      <x:c r="J1891" s="7"/>
      <x:c r="K1891" s="8" t="str">
        <x:f>IF(A1891="","",DATE(YEAR(A1891),MONTH(A1891),1))</x:f>
      </x:c>
    </x:row>
    <x:row r="1892">
      <x:c r="A1892" s="9"/>
      <x:c r="B1892" s="7"/>
      <x:c r="C1892" s="7" t="str">
        <x:f>IF(B1892="","",XLOOKUP(B1892,Employees!$A$4:$A$53,Employees!$B$4:$B$53,""))</x:f>
      </x:c>
      <x:c r="D1892" s="7"/>
      <x:c r="E1892" s="10" t="n">
        <x:v>8</x:v>
      </x:c>
      <x:c r="F1892" s="10"/>
      <x:c r="G1892" s="10" t="str">
        <x:f>IF(F1892="","",MIN(F1892,E1892))</x:f>
      </x:c>
      <x:c r="H1892" s="10" t="str">
        <x:f>IF(F1892="","",MAX(0,F1892-E1892))</x:f>
      </x:c>
      <x:c r="I1892" s="24"/>
      <x:c r="J1892" s="7"/>
      <x:c r="K1892" s="8" t="str">
        <x:f>IF(A1892="","",DATE(YEAR(A1892),MONTH(A1892),1))</x:f>
      </x:c>
    </x:row>
    <x:row r="1893">
      <x:c r="A1893" s="9"/>
      <x:c r="B1893" s="7"/>
      <x:c r="C1893" s="7" t="str">
        <x:f>IF(B1893="","",XLOOKUP(B1893,Employees!$A$4:$A$53,Employees!$B$4:$B$53,""))</x:f>
      </x:c>
      <x:c r="D1893" s="7"/>
      <x:c r="E1893" s="10" t="n">
        <x:v>8</x:v>
      </x:c>
      <x:c r="F1893" s="10"/>
      <x:c r="G1893" s="10" t="str">
        <x:f>IF(F1893="","",MIN(F1893,E1893))</x:f>
      </x:c>
      <x:c r="H1893" s="10" t="str">
        <x:f>IF(F1893="","",MAX(0,F1893-E1893))</x:f>
      </x:c>
      <x:c r="I1893" s="24"/>
      <x:c r="J1893" s="7"/>
      <x:c r="K1893" s="8" t="str">
        <x:f>IF(A1893="","",DATE(YEAR(A1893),MONTH(A1893),1))</x:f>
      </x:c>
    </x:row>
    <x:row r="1894">
      <x:c r="A1894" s="9"/>
      <x:c r="B1894" s="7"/>
      <x:c r="C1894" s="7" t="str">
        <x:f>IF(B1894="","",XLOOKUP(B1894,Employees!$A$4:$A$53,Employees!$B$4:$B$53,""))</x:f>
      </x:c>
      <x:c r="D1894" s="7"/>
      <x:c r="E1894" s="10" t="n">
        <x:v>8</x:v>
      </x:c>
      <x:c r="F1894" s="10"/>
      <x:c r="G1894" s="10" t="str">
        <x:f>IF(F1894="","",MIN(F1894,E1894))</x:f>
      </x:c>
      <x:c r="H1894" s="10" t="str">
        <x:f>IF(F1894="","",MAX(0,F1894-E1894))</x:f>
      </x:c>
      <x:c r="I1894" s="24"/>
      <x:c r="J1894" s="7"/>
      <x:c r="K1894" s="8" t="str">
        <x:f>IF(A1894="","",DATE(YEAR(A1894),MONTH(A1894),1))</x:f>
      </x:c>
    </x:row>
    <x:row r="1895">
      <x:c r="A1895" s="9"/>
      <x:c r="B1895" s="7"/>
      <x:c r="C1895" s="7" t="str">
        <x:f>IF(B1895="","",XLOOKUP(B1895,Employees!$A$4:$A$53,Employees!$B$4:$B$53,""))</x:f>
      </x:c>
      <x:c r="D1895" s="7"/>
      <x:c r="E1895" s="10" t="n">
        <x:v>8</x:v>
      </x:c>
      <x:c r="F1895" s="10"/>
      <x:c r="G1895" s="10" t="str">
        <x:f>IF(F1895="","",MIN(F1895,E1895))</x:f>
      </x:c>
      <x:c r="H1895" s="10" t="str">
        <x:f>IF(F1895="","",MAX(0,F1895-E1895))</x:f>
      </x:c>
      <x:c r="I1895" s="24"/>
      <x:c r="J1895" s="7"/>
      <x:c r="K1895" s="8" t="str">
        <x:f>IF(A1895="","",DATE(YEAR(A1895),MONTH(A1895),1))</x:f>
      </x:c>
    </x:row>
    <x:row r="1896">
      <x:c r="A1896" s="9"/>
      <x:c r="B1896" s="7"/>
      <x:c r="C1896" s="7" t="str">
        <x:f>IF(B1896="","",XLOOKUP(B1896,Employees!$A$4:$A$53,Employees!$B$4:$B$53,""))</x:f>
      </x:c>
      <x:c r="D1896" s="7"/>
      <x:c r="E1896" s="10" t="n">
        <x:v>8</x:v>
      </x:c>
      <x:c r="F1896" s="10"/>
      <x:c r="G1896" s="10" t="str">
        <x:f>IF(F1896="","",MIN(F1896,E1896))</x:f>
      </x:c>
      <x:c r="H1896" s="10" t="str">
        <x:f>IF(F1896="","",MAX(0,F1896-E1896))</x:f>
      </x:c>
      <x:c r="I1896" s="24"/>
      <x:c r="J1896" s="7"/>
      <x:c r="K1896" s="8" t="str">
        <x:f>IF(A1896="","",DATE(YEAR(A1896),MONTH(A1896),1))</x:f>
      </x:c>
    </x:row>
    <x:row r="1897">
      <x:c r="A1897" s="9"/>
      <x:c r="B1897" s="7"/>
      <x:c r="C1897" s="7" t="str">
        <x:f>IF(B1897="","",XLOOKUP(B1897,Employees!$A$4:$A$53,Employees!$B$4:$B$53,""))</x:f>
      </x:c>
      <x:c r="D1897" s="7"/>
      <x:c r="E1897" s="10" t="n">
        <x:v>8</x:v>
      </x:c>
      <x:c r="F1897" s="10"/>
      <x:c r="G1897" s="10" t="str">
        <x:f>IF(F1897="","",MIN(F1897,E1897))</x:f>
      </x:c>
      <x:c r="H1897" s="10" t="str">
        <x:f>IF(F1897="","",MAX(0,F1897-E1897))</x:f>
      </x:c>
      <x:c r="I1897" s="24"/>
      <x:c r="J1897" s="7"/>
      <x:c r="K1897" s="8" t="str">
        <x:f>IF(A1897="","",DATE(YEAR(A1897),MONTH(A1897),1))</x:f>
      </x:c>
    </x:row>
    <x:row r="1898">
      <x:c r="A1898" s="9"/>
      <x:c r="B1898" s="7"/>
      <x:c r="C1898" s="7" t="str">
        <x:f>IF(B1898="","",XLOOKUP(B1898,Employees!$A$4:$A$53,Employees!$B$4:$B$53,""))</x:f>
      </x:c>
      <x:c r="D1898" s="7"/>
      <x:c r="E1898" s="10" t="n">
        <x:v>8</x:v>
      </x:c>
      <x:c r="F1898" s="10"/>
      <x:c r="G1898" s="10" t="str">
        <x:f>IF(F1898="","",MIN(F1898,E1898))</x:f>
      </x:c>
      <x:c r="H1898" s="10" t="str">
        <x:f>IF(F1898="","",MAX(0,F1898-E1898))</x:f>
      </x:c>
      <x:c r="I1898" s="24"/>
      <x:c r="J1898" s="7"/>
      <x:c r="K1898" s="8" t="str">
        <x:f>IF(A1898="","",DATE(YEAR(A1898),MONTH(A1898),1))</x:f>
      </x:c>
    </x:row>
    <x:row r="1899">
      <x:c r="A1899" s="9"/>
      <x:c r="B1899" s="7"/>
      <x:c r="C1899" s="7" t="str">
        <x:f>IF(B1899="","",XLOOKUP(B1899,Employees!$A$4:$A$53,Employees!$B$4:$B$53,""))</x:f>
      </x:c>
      <x:c r="D1899" s="7"/>
      <x:c r="E1899" s="10" t="n">
        <x:v>8</x:v>
      </x:c>
      <x:c r="F1899" s="10"/>
      <x:c r="G1899" s="10" t="str">
        <x:f>IF(F1899="","",MIN(F1899,E1899))</x:f>
      </x:c>
      <x:c r="H1899" s="10" t="str">
        <x:f>IF(F1899="","",MAX(0,F1899-E1899))</x:f>
      </x:c>
      <x:c r="I1899" s="24"/>
      <x:c r="J1899" s="7"/>
      <x:c r="K1899" s="8" t="str">
        <x:f>IF(A1899="","",DATE(YEAR(A1899),MONTH(A1899),1))</x:f>
      </x:c>
    </x:row>
    <x:row r="1900">
      <x:c r="A1900" s="9"/>
      <x:c r="B1900" s="7"/>
      <x:c r="C1900" s="7" t="str">
        <x:f>IF(B1900="","",XLOOKUP(B1900,Employees!$A$4:$A$53,Employees!$B$4:$B$53,""))</x:f>
      </x:c>
      <x:c r="D1900" s="7"/>
      <x:c r="E1900" s="10" t="n">
        <x:v>8</x:v>
      </x:c>
      <x:c r="F1900" s="10"/>
      <x:c r="G1900" s="10" t="str">
        <x:f>IF(F1900="","",MIN(F1900,E1900))</x:f>
      </x:c>
      <x:c r="H1900" s="10" t="str">
        <x:f>IF(F1900="","",MAX(0,F1900-E1900))</x:f>
      </x:c>
      <x:c r="I1900" s="24"/>
      <x:c r="J1900" s="7"/>
      <x:c r="K1900" s="8" t="str">
        <x:f>IF(A1900="","",DATE(YEAR(A1900),MONTH(A1900),1))</x:f>
      </x:c>
    </x:row>
    <x:row r="1901">
      <x:c r="A1901" s="9"/>
      <x:c r="B1901" s="7"/>
      <x:c r="C1901" s="7" t="str">
        <x:f>IF(B1901="","",XLOOKUP(B1901,Employees!$A$4:$A$53,Employees!$B$4:$B$53,""))</x:f>
      </x:c>
      <x:c r="D1901" s="7"/>
      <x:c r="E1901" s="10" t="n">
        <x:v>8</x:v>
      </x:c>
      <x:c r="F1901" s="10"/>
      <x:c r="G1901" s="10" t="str">
        <x:f>IF(F1901="","",MIN(F1901,E1901))</x:f>
      </x:c>
      <x:c r="H1901" s="10" t="str">
        <x:f>IF(F1901="","",MAX(0,F1901-E1901))</x:f>
      </x:c>
      <x:c r="I1901" s="24"/>
      <x:c r="J1901" s="7"/>
      <x:c r="K1901" s="8" t="str">
        <x:f>IF(A1901="","",DATE(YEAR(A1901),MONTH(A1901),1))</x:f>
      </x:c>
    </x:row>
    <x:row r="1902">
      <x:c r="A1902" s="9"/>
      <x:c r="B1902" s="7"/>
      <x:c r="C1902" s="7" t="str">
        <x:f>IF(B1902="","",XLOOKUP(B1902,Employees!$A$4:$A$53,Employees!$B$4:$B$53,""))</x:f>
      </x:c>
      <x:c r="D1902" s="7"/>
      <x:c r="E1902" s="10" t="n">
        <x:v>8</x:v>
      </x:c>
      <x:c r="F1902" s="10"/>
      <x:c r="G1902" s="10" t="str">
        <x:f>IF(F1902="","",MIN(F1902,E1902))</x:f>
      </x:c>
      <x:c r="H1902" s="10" t="str">
        <x:f>IF(F1902="","",MAX(0,F1902-E1902))</x:f>
      </x:c>
      <x:c r="I1902" s="24"/>
      <x:c r="J1902" s="7"/>
      <x:c r="K1902" s="8" t="str">
        <x:f>IF(A1902="","",DATE(YEAR(A1902),MONTH(A1902),1))</x:f>
      </x:c>
    </x:row>
    <x:row r="1903">
      <x:c r="A1903" s="9"/>
      <x:c r="B1903" s="7"/>
      <x:c r="C1903" s="7" t="str">
        <x:f>IF(B1903="","",XLOOKUP(B1903,Employees!$A$4:$A$53,Employees!$B$4:$B$53,""))</x:f>
      </x:c>
      <x:c r="D1903" s="7"/>
      <x:c r="E1903" s="10" t="n">
        <x:v>8</x:v>
      </x:c>
      <x:c r="F1903" s="10"/>
      <x:c r="G1903" s="10" t="str">
        <x:f>IF(F1903="","",MIN(F1903,E1903))</x:f>
      </x:c>
      <x:c r="H1903" s="10" t="str">
        <x:f>IF(F1903="","",MAX(0,F1903-E1903))</x:f>
      </x:c>
      <x:c r="I1903" s="24"/>
      <x:c r="J1903" s="7"/>
      <x:c r="K1903" s="8" t="str">
        <x:f>IF(A1903="","",DATE(YEAR(A1903),MONTH(A1903),1))</x:f>
      </x:c>
    </x:row>
    <x:row r="1904">
      <x:c r="A1904" s="9"/>
      <x:c r="B1904" s="7"/>
      <x:c r="C1904" s="7" t="str">
        <x:f>IF(B1904="","",XLOOKUP(B1904,Employees!$A$4:$A$53,Employees!$B$4:$B$53,""))</x:f>
      </x:c>
      <x:c r="D1904" s="7"/>
      <x:c r="E1904" s="10" t="n">
        <x:v>8</x:v>
      </x:c>
      <x:c r="F1904" s="10"/>
      <x:c r="G1904" s="10" t="str">
        <x:f>IF(F1904="","",MIN(F1904,E1904))</x:f>
      </x:c>
      <x:c r="H1904" s="10" t="str">
        <x:f>IF(F1904="","",MAX(0,F1904-E1904))</x:f>
      </x:c>
      <x:c r="I1904" s="24"/>
      <x:c r="J1904" s="7"/>
      <x:c r="K1904" s="8" t="str">
        <x:f>IF(A1904="","",DATE(YEAR(A1904),MONTH(A1904),1))</x:f>
      </x:c>
    </x:row>
    <x:row r="1905">
      <x:c r="A1905" s="9"/>
      <x:c r="B1905" s="7"/>
      <x:c r="C1905" s="7" t="str">
        <x:f>IF(B1905="","",XLOOKUP(B1905,Employees!$A$4:$A$53,Employees!$B$4:$B$53,""))</x:f>
      </x:c>
      <x:c r="D1905" s="7"/>
      <x:c r="E1905" s="10" t="n">
        <x:v>8</x:v>
      </x:c>
      <x:c r="F1905" s="10"/>
      <x:c r="G1905" s="10" t="str">
        <x:f>IF(F1905="","",MIN(F1905,E1905))</x:f>
      </x:c>
      <x:c r="H1905" s="10" t="str">
        <x:f>IF(F1905="","",MAX(0,F1905-E1905))</x:f>
      </x:c>
      <x:c r="I1905" s="24"/>
      <x:c r="J1905" s="7"/>
      <x:c r="K1905" s="8" t="str">
        <x:f>IF(A1905="","",DATE(YEAR(A1905),MONTH(A1905),1))</x:f>
      </x:c>
    </x:row>
    <x:row r="1906">
      <x:c r="A1906" s="9"/>
      <x:c r="B1906" s="7"/>
      <x:c r="C1906" s="7" t="str">
        <x:f>IF(B1906="","",XLOOKUP(B1906,Employees!$A$4:$A$53,Employees!$B$4:$B$53,""))</x:f>
      </x:c>
      <x:c r="D1906" s="7"/>
      <x:c r="E1906" s="10" t="n">
        <x:v>8</x:v>
      </x:c>
      <x:c r="F1906" s="10"/>
      <x:c r="G1906" s="10" t="str">
        <x:f>IF(F1906="","",MIN(F1906,E1906))</x:f>
      </x:c>
      <x:c r="H1906" s="10" t="str">
        <x:f>IF(F1906="","",MAX(0,F1906-E1906))</x:f>
      </x:c>
      <x:c r="I1906" s="24"/>
      <x:c r="J1906" s="7"/>
      <x:c r="K1906" s="8" t="str">
        <x:f>IF(A1906="","",DATE(YEAR(A1906),MONTH(A1906),1))</x:f>
      </x:c>
    </x:row>
    <x:row r="1907">
      <x:c r="A1907" s="9"/>
      <x:c r="B1907" s="7"/>
      <x:c r="C1907" s="7" t="str">
        <x:f>IF(B1907="","",XLOOKUP(B1907,Employees!$A$4:$A$53,Employees!$B$4:$B$53,""))</x:f>
      </x:c>
      <x:c r="D1907" s="7"/>
      <x:c r="E1907" s="10" t="n">
        <x:v>8</x:v>
      </x:c>
      <x:c r="F1907" s="10"/>
      <x:c r="G1907" s="10" t="str">
        <x:f>IF(F1907="","",MIN(F1907,E1907))</x:f>
      </x:c>
      <x:c r="H1907" s="10" t="str">
        <x:f>IF(F1907="","",MAX(0,F1907-E1907))</x:f>
      </x:c>
      <x:c r="I1907" s="24"/>
      <x:c r="J1907" s="7"/>
      <x:c r="K1907" s="8" t="str">
        <x:f>IF(A1907="","",DATE(YEAR(A1907),MONTH(A1907),1))</x:f>
      </x:c>
    </x:row>
    <x:row r="1908">
      <x:c r="A1908" s="9"/>
      <x:c r="B1908" s="7"/>
      <x:c r="C1908" s="7" t="str">
        <x:f>IF(B1908="","",XLOOKUP(B1908,Employees!$A$4:$A$53,Employees!$B$4:$B$53,""))</x:f>
      </x:c>
      <x:c r="D1908" s="7"/>
      <x:c r="E1908" s="10" t="n">
        <x:v>8</x:v>
      </x:c>
      <x:c r="F1908" s="10"/>
      <x:c r="G1908" s="10" t="str">
        <x:f>IF(F1908="","",MIN(F1908,E1908))</x:f>
      </x:c>
      <x:c r="H1908" s="10" t="str">
        <x:f>IF(F1908="","",MAX(0,F1908-E1908))</x:f>
      </x:c>
      <x:c r="I1908" s="24"/>
      <x:c r="J1908" s="7"/>
      <x:c r="K1908" s="8" t="str">
        <x:f>IF(A1908="","",DATE(YEAR(A1908),MONTH(A1908),1))</x:f>
      </x:c>
    </x:row>
    <x:row r="1909">
      <x:c r="A1909" s="9"/>
      <x:c r="B1909" s="7"/>
      <x:c r="C1909" s="7" t="str">
        <x:f>IF(B1909="","",XLOOKUP(B1909,Employees!$A$4:$A$53,Employees!$B$4:$B$53,""))</x:f>
      </x:c>
      <x:c r="D1909" s="7"/>
      <x:c r="E1909" s="10" t="n">
        <x:v>8</x:v>
      </x:c>
      <x:c r="F1909" s="10"/>
      <x:c r="G1909" s="10" t="str">
        <x:f>IF(F1909="","",MIN(F1909,E1909))</x:f>
      </x:c>
      <x:c r="H1909" s="10" t="str">
        <x:f>IF(F1909="","",MAX(0,F1909-E1909))</x:f>
      </x:c>
      <x:c r="I1909" s="24"/>
      <x:c r="J1909" s="7"/>
      <x:c r="K1909" s="8" t="str">
        <x:f>IF(A1909="","",DATE(YEAR(A1909),MONTH(A1909),1))</x:f>
      </x:c>
    </x:row>
    <x:row r="1910">
      <x:c r="A1910" s="9"/>
      <x:c r="B1910" s="7"/>
      <x:c r="C1910" s="7" t="str">
        <x:f>IF(B1910="","",XLOOKUP(B1910,Employees!$A$4:$A$53,Employees!$B$4:$B$53,""))</x:f>
      </x:c>
      <x:c r="D1910" s="7"/>
      <x:c r="E1910" s="10" t="n">
        <x:v>8</x:v>
      </x:c>
      <x:c r="F1910" s="10"/>
      <x:c r="G1910" s="10" t="str">
        <x:f>IF(F1910="","",MIN(F1910,E1910))</x:f>
      </x:c>
      <x:c r="H1910" s="10" t="str">
        <x:f>IF(F1910="","",MAX(0,F1910-E1910))</x:f>
      </x:c>
      <x:c r="I1910" s="24"/>
      <x:c r="J1910" s="7"/>
      <x:c r="K1910" s="8" t="str">
        <x:f>IF(A1910="","",DATE(YEAR(A1910),MONTH(A1910),1))</x:f>
      </x:c>
    </x:row>
    <x:row r="1911">
      <x:c r="A1911" s="9"/>
      <x:c r="B1911" s="7"/>
      <x:c r="C1911" s="7" t="str">
        <x:f>IF(B1911="","",XLOOKUP(B1911,Employees!$A$4:$A$53,Employees!$B$4:$B$53,""))</x:f>
      </x:c>
      <x:c r="D1911" s="7"/>
      <x:c r="E1911" s="10" t="n">
        <x:v>8</x:v>
      </x:c>
      <x:c r="F1911" s="10"/>
      <x:c r="G1911" s="10" t="str">
        <x:f>IF(F1911="","",MIN(F1911,E1911))</x:f>
      </x:c>
      <x:c r="H1911" s="10" t="str">
        <x:f>IF(F1911="","",MAX(0,F1911-E1911))</x:f>
      </x:c>
      <x:c r="I1911" s="24"/>
      <x:c r="J1911" s="7"/>
      <x:c r="K1911" s="8" t="str">
        <x:f>IF(A1911="","",DATE(YEAR(A1911),MONTH(A1911),1))</x:f>
      </x:c>
    </x:row>
    <x:row r="1912">
      <x:c r="A1912" s="9"/>
      <x:c r="B1912" s="7"/>
      <x:c r="C1912" s="7" t="str">
        <x:f>IF(B1912="","",XLOOKUP(B1912,Employees!$A$4:$A$53,Employees!$B$4:$B$53,""))</x:f>
      </x:c>
      <x:c r="D1912" s="7"/>
      <x:c r="E1912" s="10" t="n">
        <x:v>8</x:v>
      </x:c>
      <x:c r="F1912" s="10"/>
      <x:c r="G1912" s="10" t="str">
        <x:f>IF(F1912="","",MIN(F1912,E1912))</x:f>
      </x:c>
      <x:c r="H1912" s="10" t="str">
        <x:f>IF(F1912="","",MAX(0,F1912-E1912))</x:f>
      </x:c>
      <x:c r="I1912" s="24"/>
      <x:c r="J1912" s="7"/>
      <x:c r="K1912" s="8" t="str">
        <x:f>IF(A1912="","",DATE(YEAR(A1912),MONTH(A1912),1))</x:f>
      </x:c>
    </x:row>
    <x:row r="1913">
      <x:c r="A1913" s="9"/>
      <x:c r="B1913" s="7"/>
      <x:c r="C1913" s="7" t="str">
        <x:f>IF(B1913="","",XLOOKUP(B1913,Employees!$A$4:$A$53,Employees!$B$4:$B$53,""))</x:f>
      </x:c>
      <x:c r="D1913" s="7"/>
      <x:c r="E1913" s="10" t="n">
        <x:v>8</x:v>
      </x:c>
      <x:c r="F1913" s="10"/>
      <x:c r="G1913" s="10" t="str">
        <x:f>IF(F1913="","",MIN(F1913,E1913))</x:f>
      </x:c>
      <x:c r="H1913" s="10" t="str">
        <x:f>IF(F1913="","",MAX(0,F1913-E1913))</x:f>
      </x:c>
      <x:c r="I1913" s="24"/>
      <x:c r="J1913" s="7"/>
      <x:c r="K1913" s="8" t="str">
        <x:f>IF(A1913="","",DATE(YEAR(A1913),MONTH(A1913),1))</x:f>
      </x:c>
    </x:row>
    <x:row r="1914">
      <x:c r="A1914" s="9"/>
      <x:c r="B1914" s="7"/>
      <x:c r="C1914" s="7" t="str">
        <x:f>IF(B1914="","",XLOOKUP(B1914,Employees!$A$4:$A$53,Employees!$B$4:$B$53,""))</x:f>
      </x:c>
      <x:c r="D1914" s="7"/>
      <x:c r="E1914" s="10" t="n">
        <x:v>8</x:v>
      </x:c>
      <x:c r="F1914" s="10"/>
      <x:c r="G1914" s="10" t="str">
        <x:f>IF(F1914="","",MIN(F1914,E1914))</x:f>
      </x:c>
      <x:c r="H1914" s="10" t="str">
        <x:f>IF(F1914="","",MAX(0,F1914-E1914))</x:f>
      </x:c>
      <x:c r="I1914" s="24"/>
      <x:c r="J1914" s="7"/>
      <x:c r="K1914" s="8" t="str">
        <x:f>IF(A1914="","",DATE(YEAR(A1914),MONTH(A1914),1))</x:f>
      </x:c>
    </x:row>
    <x:row r="1915">
      <x:c r="A1915" s="9"/>
      <x:c r="B1915" s="7"/>
      <x:c r="C1915" s="7" t="str">
        <x:f>IF(B1915="","",XLOOKUP(B1915,Employees!$A$4:$A$53,Employees!$B$4:$B$53,""))</x:f>
      </x:c>
      <x:c r="D1915" s="7"/>
      <x:c r="E1915" s="10" t="n">
        <x:v>8</x:v>
      </x:c>
      <x:c r="F1915" s="10"/>
      <x:c r="G1915" s="10" t="str">
        <x:f>IF(F1915="","",MIN(F1915,E1915))</x:f>
      </x:c>
      <x:c r="H1915" s="10" t="str">
        <x:f>IF(F1915="","",MAX(0,F1915-E1915))</x:f>
      </x:c>
      <x:c r="I1915" s="24"/>
      <x:c r="J1915" s="7"/>
      <x:c r="K1915" s="8" t="str">
        <x:f>IF(A1915="","",DATE(YEAR(A1915),MONTH(A1915),1))</x:f>
      </x:c>
    </x:row>
    <x:row r="1916">
      <x:c r="A1916" s="9"/>
      <x:c r="B1916" s="7"/>
      <x:c r="C1916" s="7" t="str">
        <x:f>IF(B1916="","",XLOOKUP(B1916,Employees!$A$4:$A$53,Employees!$B$4:$B$53,""))</x:f>
      </x:c>
      <x:c r="D1916" s="7"/>
      <x:c r="E1916" s="10" t="n">
        <x:v>8</x:v>
      </x:c>
      <x:c r="F1916" s="10"/>
      <x:c r="G1916" s="10" t="str">
        <x:f>IF(F1916="","",MIN(F1916,E1916))</x:f>
      </x:c>
      <x:c r="H1916" s="10" t="str">
        <x:f>IF(F1916="","",MAX(0,F1916-E1916))</x:f>
      </x:c>
      <x:c r="I1916" s="24"/>
      <x:c r="J1916" s="7"/>
      <x:c r="K1916" s="8" t="str">
        <x:f>IF(A1916="","",DATE(YEAR(A1916),MONTH(A1916),1))</x:f>
      </x:c>
    </x:row>
    <x:row r="1917">
      <x:c r="A1917" s="9"/>
      <x:c r="B1917" s="7"/>
      <x:c r="C1917" s="7" t="str">
        <x:f>IF(B1917="","",XLOOKUP(B1917,Employees!$A$4:$A$53,Employees!$B$4:$B$53,""))</x:f>
      </x:c>
      <x:c r="D1917" s="7"/>
      <x:c r="E1917" s="10" t="n">
        <x:v>8</x:v>
      </x:c>
      <x:c r="F1917" s="10"/>
      <x:c r="G1917" s="10" t="str">
        <x:f>IF(F1917="","",MIN(F1917,E1917))</x:f>
      </x:c>
      <x:c r="H1917" s="10" t="str">
        <x:f>IF(F1917="","",MAX(0,F1917-E1917))</x:f>
      </x:c>
      <x:c r="I1917" s="24"/>
      <x:c r="J1917" s="7"/>
      <x:c r="K1917" s="8" t="str">
        <x:f>IF(A1917="","",DATE(YEAR(A1917),MONTH(A1917),1))</x:f>
      </x:c>
    </x:row>
    <x:row r="1918">
      <x:c r="A1918" s="9"/>
      <x:c r="B1918" s="7"/>
      <x:c r="C1918" s="7" t="str">
        <x:f>IF(B1918="","",XLOOKUP(B1918,Employees!$A$4:$A$53,Employees!$B$4:$B$53,""))</x:f>
      </x:c>
      <x:c r="D1918" s="7"/>
      <x:c r="E1918" s="10" t="n">
        <x:v>8</x:v>
      </x:c>
      <x:c r="F1918" s="10"/>
      <x:c r="G1918" s="10" t="str">
        <x:f>IF(F1918="","",MIN(F1918,E1918))</x:f>
      </x:c>
      <x:c r="H1918" s="10" t="str">
        <x:f>IF(F1918="","",MAX(0,F1918-E1918))</x:f>
      </x:c>
      <x:c r="I1918" s="24"/>
      <x:c r="J1918" s="7"/>
      <x:c r="K1918" s="8" t="str">
        <x:f>IF(A1918="","",DATE(YEAR(A1918),MONTH(A1918),1))</x:f>
      </x:c>
    </x:row>
    <x:row r="1919">
      <x:c r="A1919" s="9"/>
      <x:c r="B1919" s="7"/>
      <x:c r="C1919" s="7" t="str">
        <x:f>IF(B1919="","",XLOOKUP(B1919,Employees!$A$4:$A$53,Employees!$B$4:$B$53,""))</x:f>
      </x:c>
      <x:c r="D1919" s="7"/>
      <x:c r="E1919" s="10" t="n">
        <x:v>8</x:v>
      </x:c>
      <x:c r="F1919" s="10"/>
      <x:c r="G1919" s="10" t="str">
        <x:f>IF(F1919="","",MIN(F1919,E1919))</x:f>
      </x:c>
      <x:c r="H1919" s="10" t="str">
        <x:f>IF(F1919="","",MAX(0,F1919-E1919))</x:f>
      </x:c>
      <x:c r="I1919" s="24"/>
      <x:c r="J1919" s="7"/>
      <x:c r="K1919" s="8" t="str">
        <x:f>IF(A1919="","",DATE(YEAR(A1919),MONTH(A1919),1))</x:f>
      </x:c>
    </x:row>
    <x:row r="1920">
      <x:c r="A1920" s="9"/>
      <x:c r="B1920" s="7"/>
      <x:c r="C1920" s="7" t="str">
        <x:f>IF(B1920="","",XLOOKUP(B1920,Employees!$A$4:$A$53,Employees!$B$4:$B$53,""))</x:f>
      </x:c>
      <x:c r="D1920" s="7"/>
      <x:c r="E1920" s="10" t="n">
        <x:v>8</x:v>
      </x:c>
      <x:c r="F1920" s="10"/>
      <x:c r="G1920" s="10" t="str">
        <x:f>IF(F1920="","",MIN(F1920,E1920))</x:f>
      </x:c>
      <x:c r="H1920" s="10" t="str">
        <x:f>IF(F1920="","",MAX(0,F1920-E1920))</x:f>
      </x:c>
      <x:c r="I1920" s="24"/>
      <x:c r="J1920" s="7"/>
      <x:c r="K1920" s="8" t="str">
        <x:f>IF(A1920="","",DATE(YEAR(A1920),MONTH(A1920),1))</x:f>
      </x:c>
    </x:row>
    <x:row r="1921">
      <x:c r="A1921" s="9"/>
      <x:c r="B1921" s="7"/>
      <x:c r="C1921" s="7" t="str">
        <x:f>IF(B1921="","",XLOOKUP(B1921,Employees!$A$4:$A$53,Employees!$B$4:$B$53,""))</x:f>
      </x:c>
      <x:c r="D1921" s="7"/>
      <x:c r="E1921" s="10" t="n">
        <x:v>8</x:v>
      </x:c>
      <x:c r="F1921" s="10"/>
      <x:c r="G1921" s="10" t="str">
        <x:f>IF(F1921="","",MIN(F1921,E1921))</x:f>
      </x:c>
      <x:c r="H1921" s="10" t="str">
        <x:f>IF(F1921="","",MAX(0,F1921-E1921))</x:f>
      </x:c>
      <x:c r="I1921" s="24"/>
      <x:c r="J1921" s="7"/>
      <x:c r="K1921" s="8" t="str">
        <x:f>IF(A1921="","",DATE(YEAR(A1921),MONTH(A1921),1))</x:f>
      </x:c>
    </x:row>
    <x:row r="1922">
      <x:c r="A1922" s="9"/>
      <x:c r="B1922" s="7"/>
      <x:c r="C1922" s="7" t="str">
        <x:f>IF(B1922="","",XLOOKUP(B1922,Employees!$A$4:$A$53,Employees!$B$4:$B$53,""))</x:f>
      </x:c>
      <x:c r="D1922" s="7"/>
      <x:c r="E1922" s="10" t="n">
        <x:v>8</x:v>
      </x:c>
      <x:c r="F1922" s="10"/>
      <x:c r="G1922" s="10" t="str">
        <x:f>IF(F1922="","",MIN(F1922,E1922))</x:f>
      </x:c>
      <x:c r="H1922" s="10" t="str">
        <x:f>IF(F1922="","",MAX(0,F1922-E1922))</x:f>
      </x:c>
      <x:c r="I1922" s="24"/>
      <x:c r="J1922" s="7"/>
      <x:c r="K1922" s="8" t="str">
        <x:f>IF(A1922="","",DATE(YEAR(A1922),MONTH(A1922),1))</x:f>
      </x:c>
    </x:row>
    <x:row r="1923">
      <x:c r="A1923" s="9"/>
      <x:c r="B1923" s="7"/>
      <x:c r="C1923" s="7" t="str">
        <x:f>IF(B1923="","",XLOOKUP(B1923,Employees!$A$4:$A$53,Employees!$B$4:$B$53,""))</x:f>
      </x:c>
      <x:c r="D1923" s="7"/>
      <x:c r="E1923" s="10" t="n">
        <x:v>8</x:v>
      </x:c>
      <x:c r="F1923" s="10"/>
      <x:c r="G1923" s="10" t="str">
        <x:f>IF(F1923="","",MIN(F1923,E1923))</x:f>
      </x:c>
      <x:c r="H1923" s="10" t="str">
        <x:f>IF(F1923="","",MAX(0,F1923-E1923))</x:f>
      </x:c>
      <x:c r="I1923" s="24"/>
      <x:c r="J1923" s="7"/>
      <x:c r="K1923" s="8" t="str">
        <x:f>IF(A1923="","",DATE(YEAR(A1923),MONTH(A1923),1))</x:f>
      </x:c>
    </x:row>
    <x:row r="1924">
      <x:c r="A1924" s="9"/>
      <x:c r="B1924" s="7"/>
      <x:c r="C1924" s="7" t="str">
        <x:f>IF(B1924="","",XLOOKUP(B1924,Employees!$A$4:$A$53,Employees!$B$4:$B$53,""))</x:f>
      </x:c>
      <x:c r="D1924" s="7"/>
      <x:c r="E1924" s="10" t="n">
        <x:v>8</x:v>
      </x:c>
      <x:c r="F1924" s="10"/>
      <x:c r="G1924" s="10" t="str">
        <x:f>IF(F1924="","",MIN(F1924,E1924))</x:f>
      </x:c>
      <x:c r="H1924" s="10" t="str">
        <x:f>IF(F1924="","",MAX(0,F1924-E1924))</x:f>
      </x:c>
      <x:c r="I1924" s="24"/>
      <x:c r="J1924" s="7"/>
      <x:c r="K1924" s="8" t="str">
        <x:f>IF(A1924="","",DATE(YEAR(A1924),MONTH(A1924),1))</x:f>
      </x:c>
    </x:row>
    <x:row r="1925">
      <x:c r="A1925" s="9"/>
      <x:c r="B1925" s="7"/>
      <x:c r="C1925" s="7" t="str">
        <x:f>IF(B1925="","",XLOOKUP(B1925,Employees!$A$4:$A$53,Employees!$B$4:$B$53,""))</x:f>
      </x:c>
      <x:c r="D1925" s="7"/>
      <x:c r="E1925" s="10" t="n">
        <x:v>8</x:v>
      </x:c>
      <x:c r="F1925" s="10"/>
      <x:c r="G1925" s="10" t="str">
        <x:f>IF(F1925="","",MIN(F1925,E1925))</x:f>
      </x:c>
      <x:c r="H1925" s="10" t="str">
        <x:f>IF(F1925="","",MAX(0,F1925-E1925))</x:f>
      </x:c>
      <x:c r="I1925" s="24"/>
      <x:c r="J1925" s="7"/>
      <x:c r="K1925" s="8" t="str">
        <x:f>IF(A1925="","",DATE(YEAR(A1925),MONTH(A1925),1))</x:f>
      </x:c>
    </x:row>
    <x:row r="1926">
      <x:c r="A1926" s="9"/>
      <x:c r="B1926" s="7"/>
      <x:c r="C1926" s="7" t="str">
        <x:f>IF(B1926="","",XLOOKUP(B1926,Employees!$A$4:$A$53,Employees!$B$4:$B$53,""))</x:f>
      </x:c>
      <x:c r="D1926" s="7"/>
      <x:c r="E1926" s="10" t="n">
        <x:v>8</x:v>
      </x:c>
      <x:c r="F1926" s="10"/>
      <x:c r="G1926" s="10" t="str">
        <x:f>IF(F1926="","",MIN(F1926,E1926))</x:f>
      </x:c>
      <x:c r="H1926" s="10" t="str">
        <x:f>IF(F1926="","",MAX(0,F1926-E1926))</x:f>
      </x:c>
      <x:c r="I1926" s="24"/>
      <x:c r="J1926" s="7"/>
      <x:c r="K1926" s="8" t="str">
        <x:f>IF(A1926="","",DATE(YEAR(A1926),MONTH(A1926),1))</x:f>
      </x:c>
    </x:row>
    <x:row r="1927">
      <x:c r="A1927" s="9"/>
      <x:c r="B1927" s="7"/>
      <x:c r="C1927" s="7" t="str">
        <x:f>IF(B1927="","",XLOOKUP(B1927,Employees!$A$4:$A$53,Employees!$B$4:$B$53,""))</x:f>
      </x:c>
      <x:c r="D1927" s="7"/>
      <x:c r="E1927" s="10" t="n">
        <x:v>8</x:v>
      </x:c>
      <x:c r="F1927" s="10"/>
      <x:c r="G1927" s="10" t="str">
        <x:f>IF(F1927="","",MIN(F1927,E1927))</x:f>
      </x:c>
      <x:c r="H1927" s="10" t="str">
        <x:f>IF(F1927="","",MAX(0,F1927-E1927))</x:f>
      </x:c>
      <x:c r="I1927" s="24"/>
      <x:c r="J1927" s="7"/>
      <x:c r="K1927" s="8" t="str">
        <x:f>IF(A1927="","",DATE(YEAR(A1927),MONTH(A1927),1))</x:f>
      </x:c>
    </x:row>
    <x:row r="1928">
      <x:c r="A1928" s="9"/>
      <x:c r="B1928" s="7"/>
      <x:c r="C1928" s="7" t="str">
        <x:f>IF(B1928="","",XLOOKUP(B1928,Employees!$A$4:$A$53,Employees!$B$4:$B$53,""))</x:f>
      </x:c>
      <x:c r="D1928" s="7"/>
      <x:c r="E1928" s="10" t="n">
        <x:v>8</x:v>
      </x:c>
      <x:c r="F1928" s="10"/>
      <x:c r="G1928" s="10" t="str">
        <x:f>IF(F1928="","",MIN(F1928,E1928))</x:f>
      </x:c>
      <x:c r="H1928" s="10" t="str">
        <x:f>IF(F1928="","",MAX(0,F1928-E1928))</x:f>
      </x:c>
      <x:c r="I1928" s="24"/>
      <x:c r="J1928" s="7"/>
      <x:c r="K1928" s="8" t="str">
        <x:f>IF(A1928="","",DATE(YEAR(A1928),MONTH(A1928),1))</x:f>
      </x:c>
    </x:row>
    <x:row r="1929">
      <x:c r="A1929" s="9"/>
      <x:c r="B1929" s="7"/>
      <x:c r="C1929" s="7" t="str">
        <x:f>IF(B1929="","",XLOOKUP(B1929,Employees!$A$4:$A$53,Employees!$B$4:$B$53,""))</x:f>
      </x:c>
      <x:c r="D1929" s="7"/>
      <x:c r="E1929" s="10" t="n">
        <x:v>8</x:v>
      </x:c>
      <x:c r="F1929" s="10"/>
      <x:c r="G1929" s="10" t="str">
        <x:f>IF(F1929="","",MIN(F1929,E1929))</x:f>
      </x:c>
      <x:c r="H1929" s="10" t="str">
        <x:f>IF(F1929="","",MAX(0,F1929-E1929))</x:f>
      </x:c>
      <x:c r="I1929" s="24"/>
      <x:c r="J1929" s="7"/>
      <x:c r="K1929" s="8" t="str">
        <x:f>IF(A1929="","",DATE(YEAR(A1929),MONTH(A1929),1))</x:f>
      </x:c>
    </x:row>
    <x:row r="1930">
      <x:c r="A1930" s="9"/>
      <x:c r="B1930" s="7"/>
      <x:c r="C1930" s="7" t="str">
        <x:f>IF(B1930="","",XLOOKUP(B1930,Employees!$A$4:$A$53,Employees!$B$4:$B$53,""))</x:f>
      </x:c>
      <x:c r="D1930" s="7"/>
      <x:c r="E1930" s="10" t="n">
        <x:v>8</x:v>
      </x:c>
      <x:c r="F1930" s="10"/>
      <x:c r="G1930" s="10" t="str">
        <x:f>IF(F1930="","",MIN(F1930,E1930))</x:f>
      </x:c>
      <x:c r="H1930" s="10" t="str">
        <x:f>IF(F1930="","",MAX(0,F1930-E1930))</x:f>
      </x:c>
      <x:c r="I1930" s="24"/>
      <x:c r="J1930" s="7"/>
      <x:c r="K1930" s="8" t="str">
        <x:f>IF(A1930="","",DATE(YEAR(A1930),MONTH(A1930),1))</x:f>
      </x:c>
    </x:row>
    <x:row r="1931">
      <x:c r="A1931" s="9"/>
      <x:c r="B1931" s="7"/>
      <x:c r="C1931" s="7" t="str">
        <x:f>IF(B1931="","",XLOOKUP(B1931,Employees!$A$4:$A$53,Employees!$B$4:$B$53,""))</x:f>
      </x:c>
      <x:c r="D1931" s="7"/>
      <x:c r="E1931" s="10" t="n">
        <x:v>8</x:v>
      </x:c>
      <x:c r="F1931" s="10"/>
      <x:c r="G1931" s="10" t="str">
        <x:f>IF(F1931="","",MIN(F1931,E1931))</x:f>
      </x:c>
      <x:c r="H1931" s="10" t="str">
        <x:f>IF(F1931="","",MAX(0,F1931-E1931))</x:f>
      </x:c>
      <x:c r="I1931" s="24"/>
      <x:c r="J1931" s="7"/>
      <x:c r="K1931" s="8" t="str">
        <x:f>IF(A1931="","",DATE(YEAR(A1931),MONTH(A1931),1))</x:f>
      </x:c>
    </x:row>
    <x:row r="1932">
      <x:c r="A1932" s="9"/>
      <x:c r="B1932" s="7"/>
      <x:c r="C1932" s="7" t="str">
        <x:f>IF(B1932="","",XLOOKUP(B1932,Employees!$A$4:$A$53,Employees!$B$4:$B$53,""))</x:f>
      </x:c>
      <x:c r="D1932" s="7"/>
      <x:c r="E1932" s="10" t="n">
        <x:v>8</x:v>
      </x:c>
      <x:c r="F1932" s="10"/>
      <x:c r="G1932" s="10" t="str">
        <x:f>IF(F1932="","",MIN(F1932,E1932))</x:f>
      </x:c>
      <x:c r="H1932" s="10" t="str">
        <x:f>IF(F1932="","",MAX(0,F1932-E1932))</x:f>
      </x:c>
      <x:c r="I1932" s="24"/>
      <x:c r="J1932" s="7"/>
      <x:c r="K1932" s="8" t="str">
        <x:f>IF(A1932="","",DATE(YEAR(A1932),MONTH(A1932),1))</x:f>
      </x:c>
    </x:row>
    <x:row r="1933">
      <x:c r="A1933" s="9"/>
      <x:c r="B1933" s="7"/>
      <x:c r="C1933" s="7" t="str">
        <x:f>IF(B1933="","",XLOOKUP(B1933,Employees!$A$4:$A$53,Employees!$B$4:$B$53,""))</x:f>
      </x:c>
      <x:c r="D1933" s="7"/>
      <x:c r="E1933" s="10" t="n">
        <x:v>8</x:v>
      </x:c>
      <x:c r="F1933" s="10"/>
      <x:c r="G1933" s="10" t="str">
        <x:f>IF(F1933="","",MIN(F1933,E1933))</x:f>
      </x:c>
      <x:c r="H1933" s="10" t="str">
        <x:f>IF(F1933="","",MAX(0,F1933-E1933))</x:f>
      </x:c>
      <x:c r="I1933" s="24"/>
      <x:c r="J1933" s="7"/>
      <x:c r="K1933" s="8" t="str">
        <x:f>IF(A1933="","",DATE(YEAR(A1933),MONTH(A1933),1))</x:f>
      </x:c>
    </x:row>
    <x:row r="1934">
      <x:c r="A1934" s="9"/>
      <x:c r="B1934" s="7"/>
      <x:c r="C1934" s="7" t="str">
        <x:f>IF(B1934="","",XLOOKUP(B1934,Employees!$A$4:$A$53,Employees!$B$4:$B$53,""))</x:f>
      </x:c>
      <x:c r="D1934" s="7"/>
      <x:c r="E1934" s="10" t="n">
        <x:v>8</x:v>
      </x:c>
      <x:c r="F1934" s="10"/>
      <x:c r="G1934" s="10" t="str">
        <x:f>IF(F1934="","",MIN(F1934,E1934))</x:f>
      </x:c>
      <x:c r="H1934" s="10" t="str">
        <x:f>IF(F1934="","",MAX(0,F1934-E1934))</x:f>
      </x:c>
      <x:c r="I1934" s="24"/>
      <x:c r="J1934" s="7"/>
      <x:c r="K1934" s="8" t="str">
        <x:f>IF(A1934="","",DATE(YEAR(A1934),MONTH(A1934),1))</x:f>
      </x:c>
    </x:row>
    <x:row r="1935">
      <x:c r="A1935" s="9"/>
      <x:c r="B1935" s="7"/>
      <x:c r="C1935" s="7" t="str">
        <x:f>IF(B1935="","",XLOOKUP(B1935,Employees!$A$4:$A$53,Employees!$B$4:$B$53,""))</x:f>
      </x:c>
      <x:c r="D1935" s="7"/>
      <x:c r="E1935" s="10" t="n">
        <x:v>8</x:v>
      </x:c>
      <x:c r="F1935" s="10"/>
      <x:c r="G1935" s="10" t="str">
        <x:f>IF(F1935="","",MIN(F1935,E1935))</x:f>
      </x:c>
      <x:c r="H1935" s="10" t="str">
        <x:f>IF(F1935="","",MAX(0,F1935-E1935))</x:f>
      </x:c>
      <x:c r="I1935" s="24"/>
      <x:c r="J1935" s="7"/>
      <x:c r="K1935" s="8" t="str">
        <x:f>IF(A1935="","",DATE(YEAR(A1935),MONTH(A1935),1))</x:f>
      </x:c>
    </x:row>
    <x:row r="1936">
      <x:c r="A1936" s="9"/>
      <x:c r="B1936" s="7"/>
      <x:c r="C1936" s="7" t="str">
        <x:f>IF(B1936="","",XLOOKUP(B1936,Employees!$A$4:$A$53,Employees!$B$4:$B$53,""))</x:f>
      </x:c>
      <x:c r="D1936" s="7"/>
      <x:c r="E1936" s="10" t="n">
        <x:v>8</x:v>
      </x:c>
      <x:c r="F1936" s="10"/>
      <x:c r="G1936" s="10" t="str">
        <x:f>IF(F1936="","",MIN(F1936,E1936))</x:f>
      </x:c>
      <x:c r="H1936" s="10" t="str">
        <x:f>IF(F1936="","",MAX(0,F1936-E1936))</x:f>
      </x:c>
      <x:c r="I1936" s="24"/>
      <x:c r="J1936" s="7"/>
      <x:c r="K1936" s="8" t="str">
        <x:f>IF(A1936="","",DATE(YEAR(A1936),MONTH(A1936),1))</x:f>
      </x:c>
    </x:row>
    <x:row r="1937">
      <x:c r="A1937" s="9"/>
      <x:c r="B1937" s="7"/>
      <x:c r="C1937" s="7" t="str">
        <x:f>IF(B1937="","",XLOOKUP(B1937,Employees!$A$4:$A$53,Employees!$B$4:$B$53,""))</x:f>
      </x:c>
      <x:c r="D1937" s="7"/>
      <x:c r="E1937" s="10" t="n">
        <x:v>8</x:v>
      </x:c>
      <x:c r="F1937" s="10"/>
      <x:c r="G1937" s="10" t="str">
        <x:f>IF(F1937="","",MIN(F1937,E1937))</x:f>
      </x:c>
      <x:c r="H1937" s="10" t="str">
        <x:f>IF(F1937="","",MAX(0,F1937-E1937))</x:f>
      </x:c>
      <x:c r="I1937" s="24"/>
      <x:c r="J1937" s="7"/>
      <x:c r="K1937" s="8" t="str">
        <x:f>IF(A1937="","",DATE(YEAR(A1937),MONTH(A1937),1))</x:f>
      </x:c>
    </x:row>
    <x:row r="1938">
      <x:c r="A1938" s="9"/>
      <x:c r="B1938" s="7"/>
      <x:c r="C1938" s="7" t="str">
        <x:f>IF(B1938="","",XLOOKUP(B1938,Employees!$A$4:$A$53,Employees!$B$4:$B$53,""))</x:f>
      </x:c>
      <x:c r="D1938" s="7"/>
      <x:c r="E1938" s="10" t="n">
        <x:v>8</x:v>
      </x:c>
      <x:c r="F1938" s="10"/>
      <x:c r="G1938" s="10" t="str">
        <x:f>IF(F1938="","",MIN(F1938,E1938))</x:f>
      </x:c>
      <x:c r="H1938" s="10" t="str">
        <x:f>IF(F1938="","",MAX(0,F1938-E1938))</x:f>
      </x:c>
      <x:c r="I1938" s="24"/>
      <x:c r="J1938" s="7"/>
      <x:c r="K1938" s="8" t="str">
        <x:f>IF(A1938="","",DATE(YEAR(A1938),MONTH(A1938),1))</x:f>
      </x:c>
    </x:row>
    <x:row r="1939">
      <x:c r="A1939" s="9"/>
      <x:c r="B1939" s="7"/>
      <x:c r="C1939" s="7" t="str">
        <x:f>IF(B1939="","",XLOOKUP(B1939,Employees!$A$4:$A$53,Employees!$B$4:$B$53,""))</x:f>
      </x:c>
      <x:c r="D1939" s="7"/>
      <x:c r="E1939" s="10" t="n">
        <x:v>8</x:v>
      </x:c>
      <x:c r="F1939" s="10"/>
      <x:c r="G1939" s="10" t="str">
        <x:f>IF(F1939="","",MIN(F1939,E1939))</x:f>
      </x:c>
      <x:c r="H1939" s="10" t="str">
        <x:f>IF(F1939="","",MAX(0,F1939-E1939))</x:f>
      </x:c>
      <x:c r="I1939" s="24"/>
      <x:c r="J1939" s="7"/>
      <x:c r="K1939" s="8" t="str">
        <x:f>IF(A1939="","",DATE(YEAR(A1939),MONTH(A1939),1))</x:f>
      </x:c>
    </x:row>
    <x:row r="1940">
      <x:c r="A1940" s="9"/>
      <x:c r="B1940" s="7"/>
      <x:c r="C1940" s="7" t="str">
        <x:f>IF(B1940="","",XLOOKUP(B1940,Employees!$A$4:$A$53,Employees!$B$4:$B$53,""))</x:f>
      </x:c>
      <x:c r="D1940" s="7"/>
      <x:c r="E1940" s="10" t="n">
        <x:v>8</x:v>
      </x:c>
      <x:c r="F1940" s="10"/>
      <x:c r="G1940" s="10" t="str">
        <x:f>IF(F1940="","",MIN(F1940,E1940))</x:f>
      </x:c>
      <x:c r="H1940" s="10" t="str">
        <x:f>IF(F1940="","",MAX(0,F1940-E1940))</x:f>
      </x:c>
      <x:c r="I1940" s="24"/>
      <x:c r="J1940" s="7"/>
      <x:c r="K1940" s="8" t="str">
        <x:f>IF(A1940="","",DATE(YEAR(A1940),MONTH(A1940),1))</x:f>
      </x:c>
    </x:row>
    <x:row r="1941">
      <x:c r="A1941" s="9"/>
      <x:c r="B1941" s="7"/>
      <x:c r="C1941" s="7" t="str">
        <x:f>IF(B1941="","",XLOOKUP(B1941,Employees!$A$4:$A$53,Employees!$B$4:$B$53,""))</x:f>
      </x:c>
      <x:c r="D1941" s="7"/>
      <x:c r="E1941" s="10" t="n">
        <x:v>8</x:v>
      </x:c>
      <x:c r="F1941" s="10"/>
      <x:c r="G1941" s="10" t="str">
        <x:f>IF(F1941="","",MIN(F1941,E1941))</x:f>
      </x:c>
      <x:c r="H1941" s="10" t="str">
        <x:f>IF(F1941="","",MAX(0,F1941-E1941))</x:f>
      </x:c>
      <x:c r="I1941" s="24"/>
      <x:c r="J1941" s="7"/>
      <x:c r="K1941" s="8" t="str">
        <x:f>IF(A1941="","",DATE(YEAR(A1941),MONTH(A1941),1))</x:f>
      </x:c>
    </x:row>
    <x:row r="1942">
      <x:c r="A1942" s="9"/>
      <x:c r="B1942" s="7"/>
      <x:c r="C1942" s="7" t="str">
        <x:f>IF(B1942="","",XLOOKUP(B1942,Employees!$A$4:$A$53,Employees!$B$4:$B$53,""))</x:f>
      </x:c>
      <x:c r="D1942" s="7"/>
      <x:c r="E1942" s="10" t="n">
        <x:v>8</x:v>
      </x:c>
      <x:c r="F1942" s="10"/>
      <x:c r="G1942" s="10" t="str">
        <x:f>IF(F1942="","",MIN(F1942,E1942))</x:f>
      </x:c>
      <x:c r="H1942" s="10" t="str">
        <x:f>IF(F1942="","",MAX(0,F1942-E1942))</x:f>
      </x:c>
      <x:c r="I1942" s="24"/>
      <x:c r="J1942" s="7"/>
      <x:c r="K1942" s="8" t="str">
        <x:f>IF(A1942="","",DATE(YEAR(A1942),MONTH(A1942),1))</x:f>
      </x:c>
    </x:row>
    <x:row r="1943">
      <x:c r="A1943" s="9"/>
      <x:c r="B1943" s="7"/>
      <x:c r="C1943" s="7" t="str">
        <x:f>IF(B1943="","",XLOOKUP(B1943,Employees!$A$4:$A$53,Employees!$B$4:$B$53,""))</x:f>
      </x:c>
      <x:c r="D1943" s="7"/>
      <x:c r="E1943" s="10" t="n">
        <x:v>8</x:v>
      </x:c>
      <x:c r="F1943" s="10"/>
      <x:c r="G1943" s="10" t="str">
        <x:f>IF(F1943="","",MIN(F1943,E1943))</x:f>
      </x:c>
      <x:c r="H1943" s="10" t="str">
        <x:f>IF(F1943="","",MAX(0,F1943-E1943))</x:f>
      </x:c>
      <x:c r="I1943" s="24"/>
      <x:c r="J1943" s="7"/>
      <x:c r="K1943" s="8" t="str">
        <x:f>IF(A1943="","",DATE(YEAR(A1943),MONTH(A1943),1))</x:f>
      </x:c>
    </x:row>
    <x:row r="1944">
      <x:c r="A1944" s="9"/>
      <x:c r="B1944" s="7"/>
      <x:c r="C1944" s="7" t="str">
        <x:f>IF(B1944="","",XLOOKUP(B1944,Employees!$A$4:$A$53,Employees!$B$4:$B$53,""))</x:f>
      </x:c>
      <x:c r="D1944" s="7"/>
      <x:c r="E1944" s="10" t="n">
        <x:v>8</x:v>
      </x:c>
      <x:c r="F1944" s="10"/>
      <x:c r="G1944" s="10" t="str">
        <x:f>IF(F1944="","",MIN(F1944,E1944))</x:f>
      </x:c>
      <x:c r="H1944" s="10" t="str">
        <x:f>IF(F1944="","",MAX(0,F1944-E1944))</x:f>
      </x:c>
      <x:c r="I1944" s="24"/>
      <x:c r="J1944" s="7"/>
      <x:c r="K1944" s="8" t="str">
        <x:f>IF(A1944="","",DATE(YEAR(A1944),MONTH(A1944),1))</x:f>
      </x:c>
    </x:row>
    <x:row r="1945">
      <x:c r="A1945" s="9"/>
      <x:c r="B1945" s="7"/>
      <x:c r="C1945" s="7" t="str">
        <x:f>IF(B1945="","",XLOOKUP(B1945,Employees!$A$4:$A$53,Employees!$B$4:$B$53,""))</x:f>
      </x:c>
      <x:c r="D1945" s="7"/>
      <x:c r="E1945" s="10" t="n">
        <x:v>8</x:v>
      </x:c>
      <x:c r="F1945" s="10"/>
      <x:c r="G1945" s="10" t="str">
        <x:f>IF(F1945="","",MIN(F1945,E1945))</x:f>
      </x:c>
      <x:c r="H1945" s="10" t="str">
        <x:f>IF(F1945="","",MAX(0,F1945-E1945))</x:f>
      </x:c>
      <x:c r="I1945" s="24"/>
      <x:c r="J1945" s="7"/>
      <x:c r="K1945" s="8" t="str">
        <x:f>IF(A1945="","",DATE(YEAR(A1945),MONTH(A1945),1))</x:f>
      </x:c>
    </x:row>
    <x:row r="1946">
      <x:c r="A1946" s="9"/>
      <x:c r="B1946" s="7"/>
      <x:c r="C1946" s="7" t="str">
        <x:f>IF(B1946="","",XLOOKUP(B1946,Employees!$A$4:$A$53,Employees!$B$4:$B$53,""))</x:f>
      </x:c>
      <x:c r="D1946" s="7"/>
      <x:c r="E1946" s="10" t="n">
        <x:v>8</x:v>
      </x:c>
      <x:c r="F1946" s="10"/>
      <x:c r="G1946" s="10" t="str">
        <x:f>IF(F1946="","",MIN(F1946,E1946))</x:f>
      </x:c>
      <x:c r="H1946" s="10" t="str">
        <x:f>IF(F1946="","",MAX(0,F1946-E1946))</x:f>
      </x:c>
      <x:c r="I1946" s="24"/>
      <x:c r="J1946" s="7"/>
      <x:c r="K1946" s="8" t="str">
        <x:f>IF(A1946="","",DATE(YEAR(A1946),MONTH(A1946),1))</x:f>
      </x:c>
    </x:row>
    <x:row r="1947">
      <x:c r="A1947" s="9"/>
      <x:c r="B1947" s="7"/>
      <x:c r="C1947" s="7" t="str">
        <x:f>IF(B1947="","",XLOOKUP(B1947,Employees!$A$4:$A$53,Employees!$B$4:$B$53,""))</x:f>
      </x:c>
      <x:c r="D1947" s="7"/>
      <x:c r="E1947" s="10" t="n">
        <x:v>8</x:v>
      </x:c>
      <x:c r="F1947" s="10"/>
      <x:c r="G1947" s="10" t="str">
        <x:f>IF(F1947="","",MIN(F1947,E1947))</x:f>
      </x:c>
      <x:c r="H1947" s="10" t="str">
        <x:f>IF(F1947="","",MAX(0,F1947-E1947))</x:f>
      </x:c>
      <x:c r="I1947" s="24"/>
      <x:c r="J1947" s="7"/>
      <x:c r="K1947" s="8" t="str">
        <x:f>IF(A1947="","",DATE(YEAR(A1947),MONTH(A1947),1))</x:f>
      </x:c>
    </x:row>
    <x:row r="1948">
      <x:c r="A1948" s="9"/>
      <x:c r="B1948" s="7"/>
      <x:c r="C1948" s="7" t="str">
        <x:f>IF(B1948="","",XLOOKUP(B1948,Employees!$A$4:$A$53,Employees!$B$4:$B$53,""))</x:f>
      </x:c>
      <x:c r="D1948" s="7"/>
      <x:c r="E1948" s="10" t="n">
        <x:v>8</x:v>
      </x:c>
      <x:c r="F1948" s="10"/>
      <x:c r="G1948" s="10" t="str">
        <x:f>IF(F1948="","",MIN(F1948,E1948))</x:f>
      </x:c>
      <x:c r="H1948" s="10" t="str">
        <x:f>IF(F1948="","",MAX(0,F1948-E1948))</x:f>
      </x:c>
      <x:c r="I1948" s="24"/>
      <x:c r="J1948" s="7"/>
      <x:c r="K1948" s="8" t="str">
        <x:f>IF(A1948="","",DATE(YEAR(A1948),MONTH(A1948),1))</x:f>
      </x:c>
    </x:row>
    <x:row r="1949">
      <x:c r="A1949" s="9"/>
      <x:c r="B1949" s="7"/>
      <x:c r="C1949" s="7" t="str">
        <x:f>IF(B1949="","",XLOOKUP(B1949,Employees!$A$4:$A$53,Employees!$B$4:$B$53,""))</x:f>
      </x:c>
      <x:c r="D1949" s="7"/>
      <x:c r="E1949" s="10" t="n">
        <x:v>8</x:v>
      </x:c>
      <x:c r="F1949" s="10"/>
      <x:c r="G1949" s="10" t="str">
        <x:f>IF(F1949="","",MIN(F1949,E1949))</x:f>
      </x:c>
      <x:c r="H1949" s="10" t="str">
        <x:f>IF(F1949="","",MAX(0,F1949-E1949))</x:f>
      </x:c>
      <x:c r="I1949" s="24"/>
      <x:c r="J1949" s="7"/>
      <x:c r="K1949" s="8" t="str">
        <x:f>IF(A1949="","",DATE(YEAR(A1949),MONTH(A1949),1))</x:f>
      </x:c>
    </x:row>
    <x:row r="1950">
      <x:c r="A1950" s="9"/>
      <x:c r="B1950" s="7"/>
      <x:c r="C1950" s="7" t="str">
        <x:f>IF(B1950="","",XLOOKUP(B1950,Employees!$A$4:$A$53,Employees!$B$4:$B$53,""))</x:f>
      </x:c>
      <x:c r="D1950" s="7"/>
      <x:c r="E1950" s="10" t="n">
        <x:v>8</x:v>
      </x:c>
      <x:c r="F1950" s="10"/>
      <x:c r="G1950" s="10" t="str">
        <x:f>IF(F1950="","",MIN(F1950,E1950))</x:f>
      </x:c>
      <x:c r="H1950" s="10" t="str">
        <x:f>IF(F1950="","",MAX(0,F1950-E1950))</x:f>
      </x:c>
      <x:c r="I1950" s="24"/>
      <x:c r="J1950" s="7"/>
      <x:c r="K1950" s="8" t="str">
        <x:f>IF(A1950="","",DATE(YEAR(A1950),MONTH(A1950),1))</x:f>
      </x:c>
    </x:row>
    <x:row r="1951">
      <x:c r="A1951" s="9"/>
      <x:c r="B1951" s="7"/>
      <x:c r="C1951" s="7" t="str">
        <x:f>IF(B1951="","",XLOOKUP(B1951,Employees!$A$4:$A$53,Employees!$B$4:$B$53,""))</x:f>
      </x:c>
      <x:c r="D1951" s="7"/>
      <x:c r="E1951" s="10" t="n">
        <x:v>8</x:v>
      </x:c>
      <x:c r="F1951" s="10"/>
      <x:c r="G1951" s="10" t="str">
        <x:f>IF(F1951="","",MIN(F1951,E1951))</x:f>
      </x:c>
      <x:c r="H1951" s="10" t="str">
        <x:f>IF(F1951="","",MAX(0,F1951-E1951))</x:f>
      </x:c>
      <x:c r="I1951" s="24"/>
      <x:c r="J1951" s="7"/>
      <x:c r="K1951" s="8" t="str">
        <x:f>IF(A1951="","",DATE(YEAR(A1951),MONTH(A1951),1))</x:f>
      </x:c>
    </x:row>
    <x:row r="1952">
      <x:c r="A1952" s="9"/>
      <x:c r="B1952" s="7"/>
      <x:c r="C1952" s="7" t="str">
        <x:f>IF(B1952="","",XLOOKUP(B1952,Employees!$A$4:$A$53,Employees!$B$4:$B$53,""))</x:f>
      </x:c>
      <x:c r="D1952" s="7"/>
      <x:c r="E1952" s="10" t="n">
        <x:v>8</x:v>
      </x:c>
      <x:c r="F1952" s="10"/>
      <x:c r="G1952" s="10" t="str">
        <x:f>IF(F1952="","",MIN(F1952,E1952))</x:f>
      </x:c>
      <x:c r="H1952" s="10" t="str">
        <x:f>IF(F1952="","",MAX(0,F1952-E1952))</x:f>
      </x:c>
      <x:c r="I1952" s="24"/>
      <x:c r="J1952" s="7"/>
      <x:c r="K1952" s="8" t="str">
        <x:f>IF(A1952="","",DATE(YEAR(A1952),MONTH(A1952),1))</x:f>
      </x:c>
    </x:row>
    <x:row r="1953">
      <x:c r="A1953" s="9"/>
      <x:c r="B1953" s="7"/>
      <x:c r="C1953" s="7" t="str">
        <x:f>IF(B1953="","",XLOOKUP(B1953,Employees!$A$4:$A$53,Employees!$B$4:$B$53,""))</x:f>
      </x:c>
      <x:c r="D1953" s="7"/>
      <x:c r="E1953" s="10" t="n">
        <x:v>8</x:v>
      </x:c>
      <x:c r="F1953" s="10"/>
      <x:c r="G1953" s="10" t="str">
        <x:f>IF(F1953="","",MIN(F1953,E1953))</x:f>
      </x:c>
      <x:c r="H1953" s="10" t="str">
        <x:f>IF(F1953="","",MAX(0,F1953-E1953))</x:f>
      </x:c>
      <x:c r="I1953" s="24"/>
      <x:c r="J1953" s="7"/>
      <x:c r="K1953" s="8" t="str">
        <x:f>IF(A1953="","",DATE(YEAR(A1953),MONTH(A1953),1))</x:f>
      </x:c>
    </x:row>
    <x:row r="1954">
      <x:c r="A1954" s="9"/>
      <x:c r="B1954" s="7"/>
      <x:c r="C1954" s="7" t="str">
        <x:f>IF(B1954="","",XLOOKUP(B1954,Employees!$A$4:$A$53,Employees!$B$4:$B$53,""))</x:f>
      </x:c>
      <x:c r="D1954" s="7"/>
      <x:c r="E1954" s="10" t="n">
        <x:v>8</x:v>
      </x:c>
      <x:c r="F1954" s="10"/>
      <x:c r="G1954" s="10" t="str">
        <x:f>IF(F1954="","",MIN(F1954,E1954))</x:f>
      </x:c>
      <x:c r="H1954" s="10" t="str">
        <x:f>IF(F1954="","",MAX(0,F1954-E1954))</x:f>
      </x:c>
      <x:c r="I1954" s="24"/>
      <x:c r="J1954" s="7"/>
      <x:c r="K1954" s="8" t="str">
        <x:f>IF(A1954="","",DATE(YEAR(A1954),MONTH(A1954),1))</x:f>
      </x:c>
    </x:row>
    <x:row r="1955">
      <x:c r="A1955" s="9"/>
      <x:c r="B1955" s="7"/>
      <x:c r="C1955" s="7" t="str">
        <x:f>IF(B1955="","",XLOOKUP(B1955,Employees!$A$4:$A$53,Employees!$B$4:$B$53,""))</x:f>
      </x:c>
      <x:c r="D1955" s="7"/>
      <x:c r="E1955" s="10" t="n">
        <x:v>8</x:v>
      </x:c>
      <x:c r="F1955" s="10"/>
      <x:c r="G1955" s="10" t="str">
        <x:f>IF(F1955="","",MIN(F1955,E1955))</x:f>
      </x:c>
      <x:c r="H1955" s="10" t="str">
        <x:f>IF(F1955="","",MAX(0,F1955-E1955))</x:f>
      </x:c>
      <x:c r="I1955" s="24"/>
      <x:c r="J1955" s="7"/>
      <x:c r="K1955" s="8" t="str">
        <x:f>IF(A1955="","",DATE(YEAR(A1955),MONTH(A1955),1))</x:f>
      </x:c>
    </x:row>
    <x:row r="1956">
      <x:c r="A1956" s="9"/>
      <x:c r="B1956" s="7"/>
      <x:c r="C1956" s="7" t="str">
        <x:f>IF(B1956="","",XLOOKUP(B1956,Employees!$A$4:$A$53,Employees!$B$4:$B$53,""))</x:f>
      </x:c>
      <x:c r="D1956" s="7"/>
      <x:c r="E1956" s="10" t="n">
        <x:v>8</x:v>
      </x:c>
      <x:c r="F1956" s="10"/>
      <x:c r="G1956" s="10" t="str">
        <x:f>IF(F1956="","",MIN(F1956,E1956))</x:f>
      </x:c>
      <x:c r="H1956" s="10" t="str">
        <x:f>IF(F1956="","",MAX(0,F1956-E1956))</x:f>
      </x:c>
      <x:c r="I1956" s="24"/>
      <x:c r="J1956" s="7"/>
      <x:c r="K1956" s="8" t="str">
        <x:f>IF(A1956="","",DATE(YEAR(A1956),MONTH(A1956),1))</x:f>
      </x:c>
    </x:row>
    <x:row r="1957">
      <x:c r="A1957" s="9"/>
      <x:c r="B1957" s="7"/>
      <x:c r="C1957" s="7" t="str">
        <x:f>IF(B1957="","",XLOOKUP(B1957,Employees!$A$4:$A$53,Employees!$B$4:$B$53,""))</x:f>
      </x:c>
      <x:c r="D1957" s="7"/>
      <x:c r="E1957" s="10" t="n">
        <x:v>8</x:v>
      </x:c>
      <x:c r="F1957" s="10"/>
      <x:c r="G1957" s="10" t="str">
        <x:f>IF(F1957="","",MIN(F1957,E1957))</x:f>
      </x:c>
      <x:c r="H1957" s="10" t="str">
        <x:f>IF(F1957="","",MAX(0,F1957-E1957))</x:f>
      </x:c>
      <x:c r="I1957" s="24"/>
      <x:c r="J1957" s="7"/>
      <x:c r="K1957" s="8" t="str">
        <x:f>IF(A1957="","",DATE(YEAR(A1957),MONTH(A1957),1))</x:f>
      </x:c>
    </x:row>
    <x:row r="1958">
      <x:c r="A1958" s="9"/>
      <x:c r="B1958" s="7"/>
      <x:c r="C1958" s="7" t="str">
        <x:f>IF(B1958="","",XLOOKUP(B1958,Employees!$A$4:$A$53,Employees!$B$4:$B$53,""))</x:f>
      </x:c>
      <x:c r="D1958" s="7"/>
      <x:c r="E1958" s="10" t="n">
        <x:v>8</x:v>
      </x:c>
      <x:c r="F1958" s="10"/>
      <x:c r="G1958" s="10" t="str">
        <x:f>IF(F1958="","",MIN(F1958,E1958))</x:f>
      </x:c>
      <x:c r="H1958" s="10" t="str">
        <x:f>IF(F1958="","",MAX(0,F1958-E1958))</x:f>
      </x:c>
      <x:c r="I1958" s="24"/>
      <x:c r="J1958" s="7"/>
      <x:c r="K1958" s="8" t="str">
        <x:f>IF(A1958="","",DATE(YEAR(A1958),MONTH(A1958),1))</x:f>
      </x:c>
    </x:row>
    <x:row r="1959">
      <x:c r="A1959" s="9"/>
      <x:c r="B1959" s="7"/>
      <x:c r="C1959" s="7" t="str">
        <x:f>IF(B1959="","",XLOOKUP(B1959,Employees!$A$4:$A$53,Employees!$B$4:$B$53,""))</x:f>
      </x:c>
      <x:c r="D1959" s="7"/>
      <x:c r="E1959" s="10" t="n">
        <x:v>8</x:v>
      </x:c>
      <x:c r="F1959" s="10"/>
      <x:c r="G1959" s="10" t="str">
        <x:f>IF(F1959="","",MIN(F1959,E1959))</x:f>
      </x:c>
      <x:c r="H1959" s="10" t="str">
        <x:f>IF(F1959="","",MAX(0,F1959-E1959))</x:f>
      </x:c>
      <x:c r="I1959" s="24"/>
      <x:c r="J1959" s="7"/>
      <x:c r="K1959" s="8" t="str">
        <x:f>IF(A1959="","",DATE(YEAR(A1959),MONTH(A1959),1))</x:f>
      </x:c>
    </x:row>
    <x:row r="1960">
      <x:c r="A1960" s="9"/>
      <x:c r="B1960" s="7"/>
      <x:c r="C1960" s="7" t="str">
        <x:f>IF(B1960="","",XLOOKUP(B1960,Employees!$A$4:$A$53,Employees!$B$4:$B$53,""))</x:f>
      </x:c>
      <x:c r="D1960" s="7"/>
      <x:c r="E1960" s="10" t="n">
        <x:v>8</x:v>
      </x:c>
      <x:c r="F1960" s="10"/>
      <x:c r="G1960" s="10" t="str">
        <x:f>IF(F1960="","",MIN(F1960,E1960))</x:f>
      </x:c>
      <x:c r="H1960" s="10" t="str">
        <x:f>IF(F1960="","",MAX(0,F1960-E1960))</x:f>
      </x:c>
      <x:c r="I1960" s="24"/>
      <x:c r="J1960" s="7"/>
      <x:c r="K1960" s="8" t="str">
        <x:f>IF(A1960="","",DATE(YEAR(A1960),MONTH(A1960),1))</x:f>
      </x:c>
    </x:row>
    <x:row r="1961">
      <x:c r="A1961" s="9"/>
      <x:c r="B1961" s="7"/>
      <x:c r="C1961" s="7" t="str">
        <x:f>IF(B1961="","",XLOOKUP(B1961,Employees!$A$4:$A$53,Employees!$B$4:$B$53,""))</x:f>
      </x:c>
      <x:c r="D1961" s="7"/>
      <x:c r="E1961" s="10" t="n">
        <x:v>8</x:v>
      </x:c>
      <x:c r="F1961" s="10"/>
      <x:c r="G1961" s="10" t="str">
        <x:f>IF(F1961="","",MIN(F1961,E1961))</x:f>
      </x:c>
      <x:c r="H1961" s="10" t="str">
        <x:f>IF(F1961="","",MAX(0,F1961-E1961))</x:f>
      </x:c>
      <x:c r="I1961" s="24"/>
      <x:c r="J1961" s="7"/>
      <x:c r="K1961" s="8" t="str">
        <x:f>IF(A1961="","",DATE(YEAR(A1961),MONTH(A1961),1))</x:f>
      </x:c>
    </x:row>
    <x:row r="1962">
      <x:c r="A1962" s="9"/>
      <x:c r="B1962" s="7"/>
      <x:c r="C1962" s="7" t="str">
        <x:f>IF(B1962="","",XLOOKUP(B1962,Employees!$A$4:$A$53,Employees!$B$4:$B$53,""))</x:f>
      </x:c>
      <x:c r="D1962" s="7"/>
      <x:c r="E1962" s="10" t="n">
        <x:v>8</x:v>
      </x:c>
      <x:c r="F1962" s="10"/>
      <x:c r="G1962" s="10" t="str">
        <x:f>IF(F1962="","",MIN(F1962,E1962))</x:f>
      </x:c>
      <x:c r="H1962" s="10" t="str">
        <x:f>IF(F1962="","",MAX(0,F1962-E1962))</x:f>
      </x:c>
      <x:c r="I1962" s="24"/>
      <x:c r="J1962" s="7"/>
      <x:c r="K1962" s="8" t="str">
        <x:f>IF(A1962="","",DATE(YEAR(A1962),MONTH(A1962),1))</x:f>
      </x:c>
    </x:row>
    <x:row r="1963">
      <x:c r="A1963" s="9"/>
      <x:c r="B1963" s="7"/>
      <x:c r="C1963" s="7" t="str">
        <x:f>IF(B1963="","",XLOOKUP(B1963,Employees!$A$4:$A$53,Employees!$B$4:$B$53,""))</x:f>
      </x:c>
      <x:c r="D1963" s="7"/>
      <x:c r="E1963" s="10" t="n">
        <x:v>8</x:v>
      </x:c>
      <x:c r="F1963" s="10"/>
      <x:c r="G1963" s="10" t="str">
        <x:f>IF(F1963="","",MIN(F1963,E1963))</x:f>
      </x:c>
      <x:c r="H1963" s="10" t="str">
        <x:f>IF(F1963="","",MAX(0,F1963-E1963))</x:f>
      </x:c>
      <x:c r="I1963" s="24"/>
      <x:c r="J1963" s="7"/>
      <x:c r="K1963" s="8" t="str">
        <x:f>IF(A1963="","",DATE(YEAR(A1963),MONTH(A1963),1))</x:f>
      </x:c>
    </x:row>
    <x:row r="1964">
      <x:c r="A1964" s="9"/>
      <x:c r="B1964" s="7"/>
      <x:c r="C1964" s="7" t="str">
        <x:f>IF(B1964="","",XLOOKUP(B1964,Employees!$A$4:$A$53,Employees!$B$4:$B$53,""))</x:f>
      </x:c>
      <x:c r="D1964" s="7"/>
      <x:c r="E1964" s="10" t="n">
        <x:v>8</x:v>
      </x:c>
      <x:c r="F1964" s="10"/>
      <x:c r="G1964" s="10" t="str">
        <x:f>IF(F1964="","",MIN(F1964,E1964))</x:f>
      </x:c>
      <x:c r="H1964" s="10" t="str">
        <x:f>IF(F1964="","",MAX(0,F1964-E1964))</x:f>
      </x:c>
      <x:c r="I1964" s="24"/>
      <x:c r="J1964" s="7"/>
      <x:c r="K1964" s="8" t="str">
        <x:f>IF(A1964="","",DATE(YEAR(A1964),MONTH(A1964),1))</x:f>
      </x:c>
    </x:row>
    <x:row r="1965">
      <x:c r="A1965" s="9"/>
      <x:c r="B1965" s="7"/>
      <x:c r="C1965" s="7" t="str">
        <x:f>IF(B1965="","",XLOOKUP(B1965,Employees!$A$4:$A$53,Employees!$B$4:$B$53,""))</x:f>
      </x:c>
      <x:c r="D1965" s="7"/>
      <x:c r="E1965" s="10" t="n">
        <x:v>8</x:v>
      </x:c>
      <x:c r="F1965" s="10"/>
      <x:c r="G1965" s="10" t="str">
        <x:f>IF(F1965="","",MIN(F1965,E1965))</x:f>
      </x:c>
      <x:c r="H1965" s="10" t="str">
        <x:f>IF(F1965="","",MAX(0,F1965-E1965))</x:f>
      </x:c>
      <x:c r="I1965" s="24"/>
      <x:c r="J1965" s="7"/>
      <x:c r="K1965" s="8" t="str">
        <x:f>IF(A1965="","",DATE(YEAR(A1965),MONTH(A1965),1))</x:f>
      </x:c>
    </x:row>
    <x:row r="1966">
      <x:c r="A1966" s="9"/>
      <x:c r="B1966" s="7"/>
      <x:c r="C1966" s="7" t="str">
        <x:f>IF(B1966="","",XLOOKUP(B1966,Employees!$A$4:$A$53,Employees!$B$4:$B$53,""))</x:f>
      </x:c>
      <x:c r="D1966" s="7"/>
      <x:c r="E1966" s="10" t="n">
        <x:v>8</x:v>
      </x:c>
      <x:c r="F1966" s="10"/>
      <x:c r="G1966" s="10" t="str">
        <x:f>IF(F1966="","",MIN(F1966,E1966))</x:f>
      </x:c>
      <x:c r="H1966" s="10" t="str">
        <x:f>IF(F1966="","",MAX(0,F1966-E1966))</x:f>
      </x:c>
      <x:c r="I1966" s="24"/>
      <x:c r="J1966" s="7"/>
      <x:c r="K1966" s="8" t="str">
        <x:f>IF(A1966="","",DATE(YEAR(A1966),MONTH(A1966),1))</x:f>
      </x:c>
    </x:row>
    <x:row r="1967">
      <x:c r="A1967" s="9"/>
      <x:c r="B1967" s="7"/>
      <x:c r="C1967" s="7" t="str">
        <x:f>IF(B1967="","",XLOOKUP(B1967,Employees!$A$4:$A$53,Employees!$B$4:$B$53,""))</x:f>
      </x:c>
      <x:c r="D1967" s="7"/>
      <x:c r="E1967" s="10" t="n">
        <x:v>8</x:v>
      </x:c>
      <x:c r="F1967" s="10"/>
      <x:c r="G1967" s="10" t="str">
        <x:f>IF(F1967="","",MIN(F1967,E1967))</x:f>
      </x:c>
      <x:c r="H1967" s="10" t="str">
        <x:f>IF(F1967="","",MAX(0,F1967-E1967))</x:f>
      </x:c>
      <x:c r="I1967" s="24"/>
      <x:c r="J1967" s="7"/>
      <x:c r="K1967" s="8" t="str">
        <x:f>IF(A1967="","",DATE(YEAR(A1967),MONTH(A1967),1))</x:f>
      </x:c>
    </x:row>
    <x:row r="1968">
      <x:c r="A1968" s="9"/>
      <x:c r="B1968" s="7"/>
      <x:c r="C1968" s="7" t="str">
        <x:f>IF(B1968="","",XLOOKUP(B1968,Employees!$A$4:$A$53,Employees!$B$4:$B$53,""))</x:f>
      </x:c>
      <x:c r="D1968" s="7"/>
      <x:c r="E1968" s="10" t="n">
        <x:v>8</x:v>
      </x:c>
      <x:c r="F1968" s="10"/>
      <x:c r="G1968" s="10" t="str">
        <x:f>IF(F1968="","",MIN(F1968,E1968))</x:f>
      </x:c>
      <x:c r="H1968" s="10" t="str">
        <x:f>IF(F1968="","",MAX(0,F1968-E1968))</x:f>
      </x:c>
      <x:c r="I1968" s="24"/>
      <x:c r="J1968" s="7"/>
      <x:c r="K1968" s="8" t="str">
        <x:f>IF(A1968="","",DATE(YEAR(A1968),MONTH(A1968),1))</x:f>
      </x:c>
    </x:row>
    <x:row r="1969">
      <x:c r="A1969" s="9"/>
      <x:c r="B1969" s="7"/>
      <x:c r="C1969" s="7" t="str">
        <x:f>IF(B1969="","",XLOOKUP(B1969,Employees!$A$4:$A$53,Employees!$B$4:$B$53,""))</x:f>
      </x:c>
      <x:c r="D1969" s="7"/>
      <x:c r="E1969" s="10" t="n">
        <x:v>8</x:v>
      </x:c>
      <x:c r="F1969" s="10"/>
      <x:c r="G1969" s="10" t="str">
        <x:f>IF(F1969="","",MIN(F1969,E1969))</x:f>
      </x:c>
      <x:c r="H1969" s="10" t="str">
        <x:f>IF(F1969="","",MAX(0,F1969-E1969))</x:f>
      </x:c>
      <x:c r="I1969" s="24"/>
      <x:c r="J1969" s="7"/>
      <x:c r="K1969" s="8" t="str">
        <x:f>IF(A1969="","",DATE(YEAR(A1969),MONTH(A1969),1))</x:f>
      </x:c>
    </x:row>
    <x:row r="1970">
      <x:c r="A1970" s="9"/>
      <x:c r="B1970" s="7"/>
      <x:c r="C1970" s="7" t="str">
        <x:f>IF(B1970="","",XLOOKUP(B1970,Employees!$A$4:$A$53,Employees!$B$4:$B$53,""))</x:f>
      </x:c>
      <x:c r="D1970" s="7"/>
      <x:c r="E1970" s="10" t="n">
        <x:v>8</x:v>
      </x:c>
      <x:c r="F1970" s="10"/>
      <x:c r="G1970" s="10" t="str">
        <x:f>IF(F1970="","",MIN(F1970,E1970))</x:f>
      </x:c>
      <x:c r="H1970" s="10" t="str">
        <x:f>IF(F1970="","",MAX(0,F1970-E1970))</x:f>
      </x:c>
      <x:c r="I1970" s="24"/>
      <x:c r="J1970" s="7"/>
      <x:c r="K1970" s="8" t="str">
        <x:f>IF(A1970="","",DATE(YEAR(A1970),MONTH(A1970),1))</x:f>
      </x:c>
    </x:row>
    <x:row r="1971">
      <x:c r="A1971" s="9"/>
      <x:c r="B1971" s="7"/>
      <x:c r="C1971" s="7" t="str">
        <x:f>IF(B1971="","",XLOOKUP(B1971,Employees!$A$4:$A$53,Employees!$B$4:$B$53,""))</x:f>
      </x:c>
      <x:c r="D1971" s="7"/>
      <x:c r="E1971" s="10" t="n">
        <x:v>8</x:v>
      </x:c>
      <x:c r="F1971" s="10"/>
      <x:c r="G1971" s="10" t="str">
        <x:f>IF(F1971="","",MIN(F1971,E1971))</x:f>
      </x:c>
      <x:c r="H1971" s="10" t="str">
        <x:f>IF(F1971="","",MAX(0,F1971-E1971))</x:f>
      </x:c>
      <x:c r="I1971" s="24"/>
      <x:c r="J1971" s="7"/>
      <x:c r="K1971" s="8" t="str">
        <x:f>IF(A1971="","",DATE(YEAR(A1971),MONTH(A1971),1))</x:f>
      </x:c>
    </x:row>
    <x:row r="1972">
      <x:c r="A1972" s="9"/>
      <x:c r="B1972" s="7"/>
      <x:c r="C1972" s="7" t="str">
        <x:f>IF(B1972="","",XLOOKUP(B1972,Employees!$A$4:$A$53,Employees!$B$4:$B$53,""))</x:f>
      </x:c>
      <x:c r="D1972" s="7"/>
      <x:c r="E1972" s="10" t="n">
        <x:v>8</x:v>
      </x:c>
      <x:c r="F1972" s="10"/>
      <x:c r="G1972" s="10" t="str">
        <x:f>IF(F1972="","",MIN(F1972,E1972))</x:f>
      </x:c>
      <x:c r="H1972" s="10" t="str">
        <x:f>IF(F1972="","",MAX(0,F1972-E1972))</x:f>
      </x:c>
      <x:c r="I1972" s="24"/>
      <x:c r="J1972" s="7"/>
      <x:c r="K1972" s="8" t="str">
        <x:f>IF(A1972="","",DATE(YEAR(A1972),MONTH(A1972),1))</x:f>
      </x:c>
    </x:row>
    <x:row r="1973">
      <x:c r="A1973" s="9"/>
      <x:c r="B1973" s="7"/>
      <x:c r="C1973" s="7" t="str">
        <x:f>IF(B1973="","",XLOOKUP(B1973,Employees!$A$4:$A$53,Employees!$B$4:$B$53,""))</x:f>
      </x:c>
      <x:c r="D1973" s="7"/>
      <x:c r="E1973" s="10" t="n">
        <x:v>8</x:v>
      </x:c>
      <x:c r="F1973" s="10"/>
      <x:c r="G1973" s="10" t="str">
        <x:f>IF(F1973="","",MIN(F1973,E1973))</x:f>
      </x:c>
      <x:c r="H1973" s="10" t="str">
        <x:f>IF(F1973="","",MAX(0,F1973-E1973))</x:f>
      </x:c>
      <x:c r="I1973" s="24"/>
      <x:c r="J1973" s="7"/>
      <x:c r="K1973" s="8" t="str">
        <x:f>IF(A1973="","",DATE(YEAR(A1973),MONTH(A1973),1))</x:f>
      </x:c>
    </x:row>
    <x:row r="1974">
      <x:c r="A1974" s="9"/>
      <x:c r="B1974" s="7"/>
      <x:c r="C1974" s="7" t="str">
        <x:f>IF(B1974="","",XLOOKUP(B1974,Employees!$A$4:$A$53,Employees!$B$4:$B$53,""))</x:f>
      </x:c>
      <x:c r="D1974" s="7"/>
      <x:c r="E1974" s="10" t="n">
        <x:v>8</x:v>
      </x:c>
      <x:c r="F1974" s="10"/>
      <x:c r="G1974" s="10" t="str">
        <x:f>IF(F1974="","",MIN(F1974,E1974))</x:f>
      </x:c>
      <x:c r="H1974" s="10" t="str">
        <x:f>IF(F1974="","",MAX(0,F1974-E1974))</x:f>
      </x:c>
      <x:c r="I1974" s="24"/>
      <x:c r="J1974" s="7"/>
      <x:c r="K1974" s="8" t="str">
        <x:f>IF(A1974="","",DATE(YEAR(A1974),MONTH(A1974),1))</x:f>
      </x:c>
    </x:row>
    <x:row r="1975">
      <x:c r="A1975" s="9"/>
      <x:c r="B1975" s="7"/>
      <x:c r="C1975" s="7" t="str">
        <x:f>IF(B1975="","",XLOOKUP(B1975,Employees!$A$4:$A$53,Employees!$B$4:$B$53,""))</x:f>
      </x:c>
      <x:c r="D1975" s="7"/>
      <x:c r="E1975" s="10" t="n">
        <x:v>8</x:v>
      </x:c>
      <x:c r="F1975" s="10"/>
      <x:c r="G1975" s="10" t="str">
        <x:f>IF(F1975="","",MIN(F1975,E1975))</x:f>
      </x:c>
      <x:c r="H1975" s="10" t="str">
        <x:f>IF(F1975="","",MAX(0,F1975-E1975))</x:f>
      </x:c>
      <x:c r="I1975" s="24"/>
      <x:c r="J1975" s="7"/>
      <x:c r="K1975" s="8" t="str">
        <x:f>IF(A1975="","",DATE(YEAR(A1975),MONTH(A1975),1))</x:f>
      </x:c>
    </x:row>
    <x:row r="1976">
      <x:c r="A1976" s="9"/>
      <x:c r="B1976" s="7"/>
      <x:c r="C1976" s="7" t="str">
        <x:f>IF(B1976="","",XLOOKUP(B1976,Employees!$A$4:$A$53,Employees!$B$4:$B$53,""))</x:f>
      </x:c>
      <x:c r="D1976" s="7"/>
      <x:c r="E1976" s="10" t="n">
        <x:v>8</x:v>
      </x:c>
      <x:c r="F1976" s="10"/>
      <x:c r="G1976" s="10" t="str">
        <x:f>IF(F1976="","",MIN(F1976,E1976))</x:f>
      </x:c>
      <x:c r="H1976" s="10" t="str">
        <x:f>IF(F1976="","",MAX(0,F1976-E1976))</x:f>
      </x:c>
      <x:c r="I1976" s="24"/>
      <x:c r="J1976" s="7"/>
      <x:c r="K1976" s="8" t="str">
        <x:f>IF(A1976="","",DATE(YEAR(A1976),MONTH(A1976),1))</x:f>
      </x:c>
    </x:row>
    <x:row r="1977">
      <x:c r="A1977" s="9"/>
      <x:c r="B1977" s="7"/>
      <x:c r="C1977" s="7" t="str">
        <x:f>IF(B1977="","",XLOOKUP(B1977,Employees!$A$4:$A$53,Employees!$B$4:$B$53,""))</x:f>
      </x:c>
      <x:c r="D1977" s="7"/>
      <x:c r="E1977" s="10" t="n">
        <x:v>8</x:v>
      </x:c>
      <x:c r="F1977" s="10"/>
      <x:c r="G1977" s="10" t="str">
        <x:f>IF(F1977="","",MIN(F1977,E1977))</x:f>
      </x:c>
      <x:c r="H1977" s="10" t="str">
        <x:f>IF(F1977="","",MAX(0,F1977-E1977))</x:f>
      </x:c>
      <x:c r="I1977" s="24"/>
      <x:c r="J1977" s="7"/>
      <x:c r="K1977" s="8" t="str">
        <x:f>IF(A1977="","",DATE(YEAR(A1977),MONTH(A1977),1))</x:f>
      </x:c>
    </x:row>
    <x:row r="1978">
      <x:c r="A1978" s="9"/>
      <x:c r="B1978" s="7"/>
      <x:c r="C1978" s="7" t="str">
        <x:f>IF(B1978="","",XLOOKUP(B1978,Employees!$A$4:$A$53,Employees!$B$4:$B$53,""))</x:f>
      </x:c>
      <x:c r="D1978" s="7"/>
      <x:c r="E1978" s="10" t="n">
        <x:v>8</x:v>
      </x:c>
      <x:c r="F1978" s="10"/>
      <x:c r="G1978" s="10" t="str">
        <x:f>IF(F1978="","",MIN(F1978,E1978))</x:f>
      </x:c>
      <x:c r="H1978" s="10" t="str">
        <x:f>IF(F1978="","",MAX(0,F1978-E1978))</x:f>
      </x:c>
      <x:c r="I1978" s="24"/>
      <x:c r="J1978" s="7"/>
      <x:c r="K1978" s="8" t="str">
        <x:f>IF(A1978="","",DATE(YEAR(A1978),MONTH(A1978),1))</x:f>
      </x:c>
    </x:row>
    <x:row r="1979">
      <x:c r="A1979" s="9"/>
      <x:c r="B1979" s="7"/>
      <x:c r="C1979" s="7" t="str">
        <x:f>IF(B1979="","",XLOOKUP(B1979,Employees!$A$4:$A$53,Employees!$B$4:$B$53,""))</x:f>
      </x:c>
      <x:c r="D1979" s="7"/>
      <x:c r="E1979" s="10" t="n">
        <x:v>8</x:v>
      </x:c>
      <x:c r="F1979" s="10"/>
      <x:c r="G1979" s="10" t="str">
        <x:f>IF(F1979="","",MIN(F1979,E1979))</x:f>
      </x:c>
      <x:c r="H1979" s="10" t="str">
        <x:f>IF(F1979="","",MAX(0,F1979-E1979))</x:f>
      </x:c>
      <x:c r="I1979" s="24"/>
      <x:c r="J1979" s="7"/>
      <x:c r="K1979" s="8" t="str">
        <x:f>IF(A1979="","",DATE(YEAR(A1979),MONTH(A1979),1))</x:f>
      </x:c>
    </x:row>
    <x:row r="1980">
      <x:c r="A1980" s="9"/>
      <x:c r="B1980" s="7"/>
      <x:c r="C1980" s="7" t="str">
        <x:f>IF(B1980="","",XLOOKUP(B1980,Employees!$A$4:$A$53,Employees!$B$4:$B$53,""))</x:f>
      </x:c>
      <x:c r="D1980" s="7"/>
      <x:c r="E1980" s="10" t="n">
        <x:v>8</x:v>
      </x:c>
      <x:c r="F1980" s="10"/>
      <x:c r="G1980" s="10" t="str">
        <x:f>IF(F1980="","",MIN(F1980,E1980))</x:f>
      </x:c>
      <x:c r="H1980" s="10" t="str">
        <x:f>IF(F1980="","",MAX(0,F1980-E1980))</x:f>
      </x:c>
      <x:c r="I1980" s="24"/>
      <x:c r="J1980" s="7"/>
      <x:c r="K1980" s="8" t="str">
        <x:f>IF(A1980="","",DATE(YEAR(A1980),MONTH(A1980),1))</x:f>
      </x:c>
    </x:row>
    <x:row r="1981">
      <x:c r="A1981" s="9"/>
      <x:c r="B1981" s="7"/>
      <x:c r="C1981" s="7" t="str">
        <x:f>IF(B1981="","",XLOOKUP(B1981,Employees!$A$4:$A$53,Employees!$B$4:$B$53,""))</x:f>
      </x:c>
      <x:c r="D1981" s="7"/>
      <x:c r="E1981" s="10" t="n">
        <x:v>8</x:v>
      </x:c>
      <x:c r="F1981" s="10"/>
      <x:c r="G1981" s="10" t="str">
        <x:f>IF(F1981="","",MIN(F1981,E1981))</x:f>
      </x:c>
      <x:c r="H1981" s="10" t="str">
        <x:f>IF(F1981="","",MAX(0,F1981-E1981))</x:f>
      </x:c>
      <x:c r="I1981" s="24"/>
      <x:c r="J1981" s="7"/>
      <x:c r="K1981" s="8" t="str">
        <x:f>IF(A1981="","",DATE(YEAR(A1981),MONTH(A1981),1))</x:f>
      </x:c>
    </x:row>
    <x:row r="1982">
      <x:c r="A1982" s="9"/>
      <x:c r="B1982" s="7"/>
      <x:c r="C1982" s="7" t="str">
        <x:f>IF(B1982="","",XLOOKUP(B1982,Employees!$A$4:$A$53,Employees!$B$4:$B$53,""))</x:f>
      </x:c>
      <x:c r="D1982" s="7"/>
      <x:c r="E1982" s="10" t="n">
        <x:v>8</x:v>
      </x:c>
      <x:c r="F1982" s="10"/>
      <x:c r="G1982" s="10" t="str">
        <x:f>IF(F1982="","",MIN(F1982,E1982))</x:f>
      </x:c>
      <x:c r="H1982" s="10" t="str">
        <x:f>IF(F1982="","",MAX(0,F1982-E1982))</x:f>
      </x:c>
      <x:c r="I1982" s="24"/>
      <x:c r="J1982" s="7"/>
      <x:c r="K1982" s="8" t="str">
        <x:f>IF(A1982="","",DATE(YEAR(A1982),MONTH(A1982),1))</x:f>
      </x:c>
    </x:row>
    <x:row r="1983">
      <x:c r="A1983" s="9"/>
      <x:c r="B1983" s="7"/>
      <x:c r="C1983" s="7" t="str">
        <x:f>IF(B1983="","",XLOOKUP(B1983,Employees!$A$4:$A$53,Employees!$B$4:$B$53,""))</x:f>
      </x:c>
      <x:c r="D1983" s="7"/>
      <x:c r="E1983" s="10" t="n">
        <x:v>8</x:v>
      </x:c>
      <x:c r="F1983" s="10"/>
      <x:c r="G1983" s="10" t="str">
        <x:f>IF(F1983="","",MIN(F1983,E1983))</x:f>
      </x:c>
      <x:c r="H1983" s="10" t="str">
        <x:f>IF(F1983="","",MAX(0,F1983-E1983))</x:f>
      </x:c>
      <x:c r="I1983" s="24"/>
      <x:c r="J1983" s="7"/>
      <x:c r="K1983" s="8" t="str">
        <x:f>IF(A1983="","",DATE(YEAR(A1983),MONTH(A1983),1))</x:f>
      </x:c>
    </x:row>
    <x:row r="1984">
      <x:c r="A1984" s="9"/>
      <x:c r="B1984" s="7"/>
      <x:c r="C1984" s="7" t="str">
        <x:f>IF(B1984="","",XLOOKUP(B1984,Employees!$A$4:$A$53,Employees!$B$4:$B$53,""))</x:f>
      </x:c>
      <x:c r="D1984" s="7"/>
      <x:c r="E1984" s="10" t="n">
        <x:v>8</x:v>
      </x:c>
      <x:c r="F1984" s="10"/>
      <x:c r="G1984" s="10" t="str">
        <x:f>IF(F1984="","",MIN(F1984,E1984))</x:f>
      </x:c>
      <x:c r="H1984" s="10" t="str">
        <x:f>IF(F1984="","",MAX(0,F1984-E1984))</x:f>
      </x:c>
      <x:c r="I1984" s="24"/>
      <x:c r="J1984" s="7"/>
      <x:c r="K1984" s="8" t="str">
        <x:f>IF(A1984="","",DATE(YEAR(A1984),MONTH(A1984),1))</x:f>
      </x:c>
    </x:row>
    <x:row r="1985">
      <x:c r="A1985" s="9"/>
      <x:c r="B1985" s="7"/>
      <x:c r="C1985" s="7" t="str">
        <x:f>IF(B1985="","",XLOOKUP(B1985,Employees!$A$4:$A$53,Employees!$B$4:$B$53,""))</x:f>
      </x:c>
      <x:c r="D1985" s="7"/>
      <x:c r="E1985" s="10" t="n">
        <x:v>8</x:v>
      </x:c>
      <x:c r="F1985" s="10"/>
      <x:c r="G1985" s="10" t="str">
        <x:f>IF(F1985="","",MIN(F1985,E1985))</x:f>
      </x:c>
      <x:c r="H1985" s="10" t="str">
        <x:f>IF(F1985="","",MAX(0,F1985-E1985))</x:f>
      </x:c>
      <x:c r="I1985" s="24"/>
      <x:c r="J1985" s="7"/>
      <x:c r="K1985" s="8" t="str">
        <x:f>IF(A1985="","",DATE(YEAR(A1985),MONTH(A1985),1))</x:f>
      </x:c>
    </x:row>
    <x:row r="1986">
      <x:c r="A1986" s="9"/>
      <x:c r="B1986" s="7"/>
      <x:c r="C1986" s="7" t="str">
        <x:f>IF(B1986="","",XLOOKUP(B1986,Employees!$A$4:$A$53,Employees!$B$4:$B$53,""))</x:f>
      </x:c>
      <x:c r="D1986" s="7"/>
      <x:c r="E1986" s="10" t="n">
        <x:v>8</x:v>
      </x:c>
      <x:c r="F1986" s="10"/>
      <x:c r="G1986" s="10" t="str">
        <x:f>IF(F1986="","",MIN(F1986,E1986))</x:f>
      </x:c>
      <x:c r="H1986" s="10" t="str">
        <x:f>IF(F1986="","",MAX(0,F1986-E1986))</x:f>
      </x:c>
      <x:c r="I1986" s="24"/>
      <x:c r="J1986" s="7"/>
      <x:c r="K1986" s="8" t="str">
        <x:f>IF(A1986="","",DATE(YEAR(A1986),MONTH(A1986),1))</x:f>
      </x:c>
    </x:row>
    <x:row r="1987">
      <x:c r="A1987" s="9"/>
      <x:c r="B1987" s="7"/>
      <x:c r="C1987" s="7" t="str">
        <x:f>IF(B1987="","",XLOOKUP(B1987,Employees!$A$4:$A$53,Employees!$B$4:$B$53,""))</x:f>
      </x:c>
      <x:c r="D1987" s="7"/>
      <x:c r="E1987" s="10" t="n">
        <x:v>8</x:v>
      </x:c>
      <x:c r="F1987" s="10"/>
      <x:c r="G1987" s="10" t="str">
        <x:f>IF(F1987="","",MIN(F1987,E1987))</x:f>
      </x:c>
      <x:c r="H1987" s="10" t="str">
        <x:f>IF(F1987="","",MAX(0,F1987-E1987))</x:f>
      </x:c>
      <x:c r="I1987" s="24"/>
      <x:c r="J1987" s="7"/>
      <x:c r="K1987" s="8" t="str">
        <x:f>IF(A1987="","",DATE(YEAR(A1987),MONTH(A1987),1))</x:f>
      </x:c>
    </x:row>
    <x:row r="1988">
      <x:c r="A1988" s="9"/>
      <x:c r="B1988" s="7"/>
      <x:c r="C1988" s="7" t="str">
        <x:f>IF(B1988="","",XLOOKUP(B1988,Employees!$A$4:$A$53,Employees!$B$4:$B$53,""))</x:f>
      </x:c>
      <x:c r="D1988" s="7"/>
      <x:c r="E1988" s="10" t="n">
        <x:v>8</x:v>
      </x:c>
      <x:c r="F1988" s="10"/>
      <x:c r="G1988" s="10" t="str">
        <x:f>IF(F1988="","",MIN(F1988,E1988))</x:f>
      </x:c>
      <x:c r="H1988" s="10" t="str">
        <x:f>IF(F1988="","",MAX(0,F1988-E1988))</x:f>
      </x:c>
      <x:c r="I1988" s="24"/>
      <x:c r="J1988" s="7"/>
      <x:c r="K1988" s="8" t="str">
        <x:f>IF(A1988="","",DATE(YEAR(A1988),MONTH(A1988),1))</x:f>
      </x:c>
    </x:row>
    <x:row r="1989">
      <x:c r="A1989" s="9"/>
      <x:c r="B1989" s="7"/>
      <x:c r="C1989" s="7" t="str">
        <x:f>IF(B1989="","",XLOOKUP(B1989,Employees!$A$4:$A$53,Employees!$B$4:$B$53,""))</x:f>
      </x:c>
      <x:c r="D1989" s="7"/>
      <x:c r="E1989" s="10" t="n">
        <x:v>8</x:v>
      </x:c>
      <x:c r="F1989" s="10"/>
      <x:c r="G1989" s="10" t="str">
        <x:f>IF(F1989="","",MIN(F1989,E1989))</x:f>
      </x:c>
      <x:c r="H1989" s="10" t="str">
        <x:f>IF(F1989="","",MAX(0,F1989-E1989))</x:f>
      </x:c>
      <x:c r="I1989" s="24"/>
      <x:c r="J1989" s="7"/>
      <x:c r="K1989" s="8" t="str">
        <x:f>IF(A1989="","",DATE(YEAR(A1989),MONTH(A1989),1))</x:f>
      </x:c>
    </x:row>
    <x:row r="1990">
      <x:c r="A1990" s="9"/>
      <x:c r="B1990" s="7"/>
      <x:c r="C1990" s="7" t="str">
        <x:f>IF(B1990="","",XLOOKUP(B1990,Employees!$A$4:$A$53,Employees!$B$4:$B$53,""))</x:f>
      </x:c>
      <x:c r="D1990" s="7"/>
      <x:c r="E1990" s="10" t="n">
        <x:v>8</x:v>
      </x:c>
      <x:c r="F1990" s="10"/>
      <x:c r="G1990" s="10" t="str">
        <x:f>IF(F1990="","",MIN(F1990,E1990))</x:f>
      </x:c>
      <x:c r="H1990" s="10" t="str">
        <x:f>IF(F1990="","",MAX(0,F1990-E1990))</x:f>
      </x:c>
      <x:c r="I1990" s="24"/>
      <x:c r="J1990" s="7"/>
      <x:c r="K1990" s="8" t="str">
        <x:f>IF(A1990="","",DATE(YEAR(A1990),MONTH(A1990),1))</x:f>
      </x:c>
    </x:row>
    <x:row r="1991">
      <x:c r="A1991" s="9"/>
      <x:c r="B1991" s="7"/>
      <x:c r="C1991" s="7" t="str">
        <x:f>IF(B1991="","",XLOOKUP(B1991,Employees!$A$4:$A$53,Employees!$B$4:$B$53,""))</x:f>
      </x:c>
      <x:c r="D1991" s="7"/>
      <x:c r="E1991" s="10" t="n">
        <x:v>8</x:v>
      </x:c>
      <x:c r="F1991" s="10"/>
      <x:c r="G1991" s="10" t="str">
        <x:f>IF(F1991="","",MIN(F1991,E1991))</x:f>
      </x:c>
      <x:c r="H1991" s="10" t="str">
        <x:f>IF(F1991="","",MAX(0,F1991-E1991))</x:f>
      </x:c>
      <x:c r="I1991" s="24"/>
      <x:c r="J1991" s="7"/>
      <x:c r="K1991" s="8" t="str">
        <x:f>IF(A1991="","",DATE(YEAR(A1991),MONTH(A1991),1))</x:f>
      </x:c>
    </x:row>
    <x:row r="1992">
      <x:c r="A1992" s="9"/>
      <x:c r="B1992" s="7"/>
      <x:c r="C1992" s="7" t="str">
        <x:f>IF(B1992="","",XLOOKUP(B1992,Employees!$A$4:$A$53,Employees!$B$4:$B$53,""))</x:f>
      </x:c>
      <x:c r="D1992" s="7"/>
      <x:c r="E1992" s="10" t="n">
        <x:v>8</x:v>
      </x:c>
      <x:c r="F1992" s="10"/>
      <x:c r="G1992" s="10" t="str">
        <x:f>IF(F1992="","",MIN(F1992,E1992))</x:f>
      </x:c>
      <x:c r="H1992" s="10" t="str">
        <x:f>IF(F1992="","",MAX(0,F1992-E1992))</x:f>
      </x:c>
      <x:c r="I1992" s="24"/>
      <x:c r="J1992" s="7"/>
      <x:c r="K1992" s="8" t="str">
        <x:f>IF(A1992="","",DATE(YEAR(A1992),MONTH(A1992),1))</x:f>
      </x:c>
    </x:row>
    <x:row r="1993">
      <x:c r="A1993" s="9"/>
      <x:c r="B1993" s="7"/>
      <x:c r="C1993" s="7" t="str">
        <x:f>IF(B1993="","",XLOOKUP(B1993,Employees!$A$4:$A$53,Employees!$B$4:$B$53,""))</x:f>
      </x:c>
      <x:c r="D1993" s="7"/>
      <x:c r="E1993" s="10" t="n">
        <x:v>8</x:v>
      </x:c>
      <x:c r="F1993" s="10"/>
      <x:c r="G1993" s="10" t="str">
        <x:f>IF(F1993="","",MIN(F1993,E1993))</x:f>
      </x:c>
      <x:c r="H1993" s="10" t="str">
        <x:f>IF(F1993="","",MAX(0,F1993-E1993))</x:f>
      </x:c>
      <x:c r="I1993" s="24"/>
      <x:c r="J1993" s="7"/>
      <x:c r="K1993" s="8" t="str">
        <x:f>IF(A1993="","",DATE(YEAR(A1993),MONTH(A1993),1))</x:f>
      </x:c>
    </x:row>
    <x:row r="1994">
      <x:c r="A1994" s="9"/>
      <x:c r="B1994" s="7"/>
      <x:c r="C1994" s="7" t="str">
        <x:f>IF(B1994="","",XLOOKUP(B1994,Employees!$A$4:$A$53,Employees!$B$4:$B$53,""))</x:f>
      </x:c>
      <x:c r="D1994" s="7"/>
      <x:c r="E1994" s="10" t="n">
        <x:v>8</x:v>
      </x:c>
      <x:c r="F1994" s="10"/>
      <x:c r="G1994" s="10" t="str">
        <x:f>IF(F1994="","",MIN(F1994,E1994))</x:f>
      </x:c>
      <x:c r="H1994" s="10" t="str">
        <x:f>IF(F1994="","",MAX(0,F1994-E1994))</x:f>
      </x:c>
      <x:c r="I1994" s="24"/>
      <x:c r="J1994" s="7"/>
      <x:c r="K1994" s="8" t="str">
        <x:f>IF(A1994="","",DATE(YEAR(A1994),MONTH(A1994),1))</x:f>
      </x:c>
    </x:row>
    <x:row r="1995">
      <x:c r="A1995" s="9"/>
      <x:c r="B1995" s="7"/>
      <x:c r="C1995" s="7" t="str">
        <x:f>IF(B1995="","",XLOOKUP(B1995,Employees!$A$4:$A$53,Employees!$B$4:$B$53,""))</x:f>
      </x:c>
      <x:c r="D1995" s="7"/>
      <x:c r="E1995" s="10" t="n">
        <x:v>8</x:v>
      </x:c>
      <x:c r="F1995" s="10"/>
      <x:c r="G1995" s="10" t="str">
        <x:f>IF(F1995="","",MIN(F1995,E1995))</x:f>
      </x:c>
      <x:c r="H1995" s="10" t="str">
        <x:f>IF(F1995="","",MAX(0,F1995-E1995))</x:f>
      </x:c>
      <x:c r="I1995" s="24"/>
      <x:c r="J1995" s="7"/>
      <x:c r="K1995" s="8" t="str">
        <x:f>IF(A1995="","",DATE(YEAR(A1995),MONTH(A1995),1))</x:f>
      </x:c>
    </x:row>
    <x:row r="1996">
      <x:c r="A1996" s="9"/>
      <x:c r="B1996" s="7"/>
      <x:c r="C1996" s="7" t="str">
        <x:f>IF(B1996="","",XLOOKUP(B1996,Employees!$A$4:$A$53,Employees!$B$4:$B$53,""))</x:f>
      </x:c>
      <x:c r="D1996" s="7"/>
      <x:c r="E1996" s="10" t="n">
        <x:v>8</x:v>
      </x:c>
      <x:c r="F1996" s="10"/>
      <x:c r="G1996" s="10" t="str">
        <x:f>IF(F1996="","",MIN(F1996,E1996))</x:f>
      </x:c>
      <x:c r="H1996" s="10" t="str">
        <x:f>IF(F1996="","",MAX(0,F1996-E1996))</x:f>
      </x:c>
      <x:c r="I1996" s="24"/>
      <x:c r="J1996" s="7"/>
      <x:c r="K1996" s="8" t="str">
        <x:f>IF(A1996="","",DATE(YEAR(A1996),MONTH(A1996),1))</x:f>
      </x:c>
    </x:row>
    <x:row r="1997">
      <x:c r="A1997" s="9"/>
      <x:c r="B1997" s="7"/>
      <x:c r="C1997" s="7" t="str">
        <x:f>IF(B1997="","",XLOOKUP(B1997,Employees!$A$4:$A$53,Employees!$B$4:$B$53,""))</x:f>
      </x:c>
      <x:c r="D1997" s="7"/>
      <x:c r="E1997" s="10" t="n">
        <x:v>8</x:v>
      </x:c>
      <x:c r="F1997" s="10"/>
      <x:c r="G1997" s="10" t="str">
        <x:f>IF(F1997="","",MIN(F1997,E1997))</x:f>
      </x:c>
      <x:c r="H1997" s="10" t="str">
        <x:f>IF(F1997="","",MAX(0,F1997-E1997))</x:f>
      </x:c>
      <x:c r="I1997" s="24"/>
      <x:c r="J1997" s="7"/>
      <x:c r="K1997" s="8" t="str">
        <x:f>IF(A1997="","",DATE(YEAR(A1997),MONTH(A1997),1))</x:f>
      </x:c>
    </x:row>
    <x:row r="1998">
      <x:c r="A1998" s="9"/>
      <x:c r="B1998" s="7"/>
      <x:c r="C1998" s="7" t="str">
        <x:f>IF(B1998="","",XLOOKUP(B1998,Employees!$A$4:$A$53,Employees!$B$4:$B$53,""))</x:f>
      </x:c>
      <x:c r="D1998" s="7"/>
      <x:c r="E1998" s="10" t="n">
        <x:v>8</x:v>
      </x:c>
      <x:c r="F1998" s="10"/>
      <x:c r="G1998" s="10" t="str">
        <x:f>IF(F1998="","",MIN(F1998,E1998))</x:f>
      </x:c>
      <x:c r="H1998" s="10" t="str">
        <x:f>IF(F1998="","",MAX(0,F1998-E1998))</x:f>
      </x:c>
      <x:c r="I1998" s="24"/>
      <x:c r="J1998" s="7"/>
      <x:c r="K1998" s="8" t="str">
        <x:f>IF(A1998="","",DATE(YEAR(A1998),MONTH(A1998),1))</x:f>
      </x:c>
    </x:row>
    <x:row r="1999">
      <x:c r="A1999" s="9"/>
      <x:c r="B1999" s="7"/>
      <x:c r="C1999" s="7" t="str">
        <x:f>IF(B1999="","",XLOOKUP(B1999,Employees!$A$4:$A$53,Employees!$B$4:$B$53,""))</x:f>
      </x:c>
      <x:c r="D1999" s="7"/>
      <x:c r="E1999" s="10" t="n">
        <x:v>8</x:v>
      </x:c>
      <x:c r="F1999" s="10"/>
      <x:c r="G1999" s="10" t="str">
        <x:f>IF(F1999="","",MIN(F1999,E1999))</x:f>
      </x:c>
      <x:c r="H1999" s="10" t="str">
        <x:f>IF(F1999="","",MAX(0,F1999-E1999))</x:f>
      </x:c>
      <x:c r="I1999" s="24"/>
      <x:c r="J1999" s="7"/>
      <x:c r="K1999" s="8" t="str">
        <x:f>IF(A1999="","",DATE(YEAR(A1999),MONTH(A1999),1))</x:f>
      </x:c>
    </x:row>
  </x:sheetData>
  <x:mergeCells>
    <x:mergeCell ref="A1:K1"/>
  </x:mergeCells>
  <x:conditionalFormatting sqref="D4:D1999">
    <x:cfRule type="expression" dxfId="0" priority="1">
      <x:formula>$D4="Absent"</x:formula>
    </x:cfRule>
    <x:cfRule type="expression" dxfId="1" priority="2">
      <x:formula>$D4="Present"</x:formula>
    </x:cfRule>
  </x:conditionalFormatting>
  <x:conditionalFormatting sqref="H4:H1999">
    <x:cfRule type="expression" dxfId="2" priority="3">
      <x:formula>$H4&gt;0</x:formula>
    </x:cfRule>
  </x:conditionalFormatting>
  <x:dataValidations count="3">
    <x:dataValidation type="list" allowBlank="1" showDropDown="0" sqref="D4:D1999">
      <x:formula1>"Present,Absent,Half Day,Paid Leave,Unpaid Leave,Weekly Off,Holiday"</x:formula1>
    </x:dataValidation>
    <x:dataValidation type="list" allowBlank="1" showDropDown="0" sqref="B4:B1999">
      <x:formula1>Employees!$A$4:$A$53</x:formula1>
    </x:dataValidation>
    <x:dataValidation type="decimal" errorStyle="stop" operator="between" showErrorMessage="1" errorTitle="Invalid hours" error="Enter hours worked between 0 and 24." sqref="F4:F1999">
      <x:formula1>0</x:formula1>
      <x:formula2>24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819999694824219" hidden="0" customWidth="1"/>
    <x:col min="2" max="2" width="19.020000457763672" hidden="0" customWidth="1"/>
    <x:col min="3" max="3" width="14.720000267028809" hidden="0" customWidth="1"/>
    <x:col min="4" max="4" width="13.5" hidden="0" customWidth="1"/>
    <x:col min="5" max="5" width="10.430000305175781" hidden="0" customWidth="1"/>
    <x:col min="6" max="6" width="11.039999961853027" hidden="0" customWidth="1"/>
    <x:col min="7" max="7" width="9.819999694824219" hidden="0" customWidth="1"/>
    <x:col min="8" max="8" width="9.819999694824219" hidden="0" customWidth="1"/>
    <x:col min="9" max="9" width="15.34000015258789" hidden="0" customWidth="1"/>
    <x:col min="10" max="10" width="12.880000114440918" hidden="0" customWidth="1"/>
    <x:col min="11" max="11" width="12.880000114440918" hidden="0" customWidth="1"/>
    <x:col min="12" max="12" width="12.880000114440918" hidden="0" customWidth="1"/>
    <x:col min="13" max="13" width="12.880000114440918" hidden="0" customWidth="1"/>
    <x:col min="14" max="14" width="15.34000015258789" hidden="0" customWidth="1"/>
    <x:col min="15" max="15" width="12.880000114440918" hidden="0" customWidth="1"/>
  </x:cols>
  <x:sheetData>
    <x:row r="1" ht="27" customHeight="1">
      <x:c r="A1" s="30" t="str">
        <x:v>Monthly Payroll</x:v>
      </x:c>
      <x:c r="B1" s="30" t="str">
        <x:v>Monthly Payroll</x:v>
      </x:c>
      <x:c r="C1" s="30" t="str">
        <x:v>Monthly Payroll</x:v>
      </x:c>
      <x:c r="D1" s="30" t="str">
        <x:v>Monthly Payroll</x:v>
      </x:c>
      <x:c r="E1" s="30" t="str">
        <x:v>Monthly Payroll</x:v>
      </x:c>
      <x:c r="F1" s="30" t="str">
        <x:v>Monthly Payroll</x:v>
      </x:c>
      <x:c r="G1" s="30" t="str">
        <x:v>Monthly Payroll</x:v>
      </x:c>
      <x:c r="H1" s="30" t="str">
        <x:v>Monthly Payroll</x:v>
      </x:c>
      <x:c r="I1" s="30" t="str">
        <x:v>Monthly Payroll</x:v>
      </x:c>
      <x:c r="J1" s="30" t="str">
        <x:v>Monthly Payroll</x:v>
      </x:c>
      <x:c r="K1" s="30" t="str">
        <x:v>Monthly Payroll</x:v>
      </x:c>
      <x:c r="L1" s="30" t="str">
        <x:v>Monthly Payroll</x:v>
      </x:c>
      <x:c r="M1" s="30" t="str">
        <x:v>Monthly Payroll</x:v>
      </x:c>
      <x:c r="N1" s="30" t="str">
        <x:v>Monthly Payroll</x:v>
      </x:c>
      <x:c r="O1" s="30" t="str">
        <x:v>Monthly Payroll</x:v>
      </x:c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41" t="str">
        <x:v>Payroll month</x:v>
      </x:c>
      <x:c r="B3" s="46" t="n">
        <x:f>Setup!B3</x:f>
        <x:v>46143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37" t="str">
        <x:v>Emp ID</x:v>
      </x:c>
      <x:c r="B5" s="37" t="str">
        <x:v>Employee Name</x:v>
      </x:c>
      <x:c r="C5" s="37" t="str">
        <x:v>Department</x:v>
      </x:c>
      <x:c r="D5" s="37" t="str">
        <x:v>Base Salary</x:v>
      </x:c>
      <x:c r="E5" s="37" t="str">
        <x:v>Paid Days</x:v>
      </x:c>
      <x:c r="F5" s="37" t="str">
        <x:v>Present Days</x:v>
      </x:c>
      <x:c r="G5" s="37" t="str">
        <x:v>Paid Leave</x:v>
      </x:c>
      <x:c r="H5" s="37" t="str">
        <x:v>Absences</x:v>
      </x:c>
      <x:c r="I5" s="37" t="str">
        <x:v>Regular Paid Hours</x:v>
      </x:c>
      <x:c r="J5" s="37" t="str">
        <x:v>Overtime Hours</x:v>
      </x:c>
      <x:c r="K5" s="37" t="str">
        <x:v>Regular Pay</x:v>
      </x:c>
      <x:c r="L5" s="37" t="str">
        <x:v>Overtime Pay</x:v>
      </x:c>
      <x:c r="M5" s="37" t="str">
        <x:v>Gross Pay</x:v>
      </x:c>
      <x:c r="N5" s="37" t="str">
        <x:v>Manual Deductions</x:v>
      </x:c>
      <x:c r="O5" s="37" t="str">
        <x:v>Net Pay</x:v>
      </x:c>
    </x:row>
    <x:row r="6">
      <x:c r="A6" s="42" t="str">
        <x:f>Employees!A4</x:f>
        <x:v>EMP001</x:v>
      </x:c>
      <x:c r="B6" s="42" t="str">
        <x:f>Employees!B4</x:f>
        <x:v>Staff 1</x:v>
      </x:c>
      <x:c r="C6" s="42" t="str">
        <x:f>IF(Employees!D4="","",Employees!D4)</x:f>
      </x:c>
      <x:c r="D6" s="40" t="n">
        <x:f>IF(Employees!G4="","",Employees!G4)</x:f>
        <x:v>20000</x:v>
      </x:c>
      <x:c r="E6" s="39" t="n">
        <x:f>IF($A6="","",I6/Setup!$B$4)</x:f>
        <x:v>0</x:v>
      </x:c>
      <x:c r="F6" s="39" t="n">
        <x:f>IF($A6="","",COUNTIFS(Attendance!$B$4:$B$1999,$A6,Attendance!$K$4:$K$1999,$B$3,Attendance!$D$4:$D$1999,"Present")+0.5*COUNTIFS(Attendance!$B$4:$B$1999,$A6,Attendance!$K$4:$K$1999,$B$3,Attendance!$D$4:$D$1999,"Half Day"))</x:f>
        <x:v>0</x:v>
      </x:c>
      <x:c r="G6" s="39" t="n">
        <x:f>IF($A6="","",COUNTIFS(Attendance!$B$4:$B$1999,$A6,Attendance!$K$4:$K$1999,$B$3,Attendance!$D$4:$D$1999,"Paid Leave"))</x:f>
        <x:v>0</x:v>
      </x:c>
      <x:c r="H6" s="39" t="n">
        <x:f>IF($A6="","",COUNTIFS(Attendance!$B$4:$B$1999,$A6,Attendance!$K$4:$K$1999,$B$3,Attendance!$D$4:$D$1999,"Absent")+COUNTIFS(Attendance!$B$4:$B$1999,$A6,Attendance!$K$4:$K$1999,$B$3,Attendance!$D$4:$D$1999,"Unpaid Leave"))</x:f>
        <x:v>0</x:v>
      </x:c>
      <x:c r="I6" s="39" t="n">
        <x:f>IF($A6="","",SUMIFS(Attendance!$G$4:$G$1999,Attendance!$B$4:$B$1999,$A6,Attendance!$K$4:$K$1999,$B$3)+Setup!$B$4*(COUNTIFS(Attendance!$B$4:$B$1999,$A6,Attendance!$K$4:$K$1999,$B$3,Attendance!$D$4:$D$1999,"Paid Leave")+COUNTIFS(Attendance!$B$4:$B$1999,$A6,Attendance!$K$4:$K$1999,$B$3,Attendance!$D$4:$D$1999,"Holiday")+COUNTIFS(Attendance!$B$4:$B$1999,$A6,Attendance!$K$4:$K$1999,$B$3,Attendance!$D$4:$D$1999,"Weekly Off")))</x:f>
        <x:v>0</x:v>
      </x:c>
      <x:c r="J6" s="39" t="n">
        <x:f>IF($A6="","",SUMIFS(Attendance!$H$4:$H$1999,Attendance!$B$4:$B$1999,$A6,Attendance!$K$4:$K$1999,$B$3))</x:f>
        <x:v>0</x:v>
      </x:c>
      <x:c r="K6" s="40" t="n">
        <x:f>IF($A6="","",Employees!H4*I6)</x:f>
        <x:v>0</x:v>
      </x:c>
      <x:c r="L6" s="40" t="n">
        <x:f>IF($A6="","",Employees!I4*J6)</x:f>
        <x:v>0</x:v>
      </x:c>
      <x:c r="M6" s="40" t="n">
        <x:f>IF($A6="","",K6+L6)</x:f>
        <x:v>0</x:v>
      </x:c>
      <x:c r="N6" s="47"/>
      <x:c r="O6" s="40" t="n">
        <x:f>IF($A6="","",M6-N6)</x:f>
        <x:v>0</x:v>
      </x:c>
    </x:row>
    <x:row r="7">
      <x:c r="A7" s="42" t="str">
        <x:f>Employees!A5</x:f>
        <x:v>EMP002</x:v>
      </x:c>
      <x:c r="B7" s="42" t="str">
        <x:f>Employees!B5</x:f>
        <x:v>Staff 2</x:v>
      </x:c>
      <x:c r="C7" s="42" t="str">
        <x:f>IF(Employees!D5="","",Employees!D5)</x:f>
      </x:c>
      <x:c r="D7" s="40" t="n">
        <x:f>IF(Employees!G5="","",Employees!G5)</x:f>
        <x:v>20000</x:v>
      </x:c>
      <x:c r="E7" s="39" t="n">
        <x:f>IF($A7="","",I7/Setup!$B$4)</x:f>
        <x:v>0</x:v>
      </x:c>
      <x:c r="F7" s="39" t="n">
        <x:f>IF($A7="","",COUNTIFS(Attendance!$B$4:$B$1999,$A7,Attendance!$K$4:$K$1999,$B$3,Attendance!$D$4:$D$1999,"Present")+0.5*COUNTIFS(Attendance!$B$4:$B$1999,$A7,Attendance!$K$4:$K$1999,$B$3,Attendance!$D$4:$D$1999,"Half Day"))</x:f>
        <x:v>0</x:v>
      </x:c>
      <x:c r="G7" s="39" t="n">
        <x:f>IF($A7="","",COUNTIFS(Attendance!$B$4:$B$1999,$A7,Attendance!$K$4:$K$1999,$B$3,Attendance!$D$4:$D$1999,"Paid Leave"))</x:f>
        <x:v>0</x:v>
      </x:c>
      <x:c r="H7" s="39" t="n">
        <x:f>IF($A7="","",COUNTIFS(Attendance!$B$4:$B$1999,$A7,Attendance!$K$4:$K$1999,$B$3,Attendance!$D$4:$D$1999,"Absent")+COUNTIFS(Attendance!$B$4:$B$1999,$A7,Attendance!$K$4:$K$1999,$B$3,Attendance!$D$4:$D$1999,"Unpaid Leave"))</x:f>
        <x:v>0</x:v>
      </x:c>
      <x:c r="I7" s="39" t="n">
        <x:f>IF($A7="","",SUMIFS(Attendance!$G$4:$G$1999,Attendance!$B$4:$B$1999,$A7,Attendance!$K$4:$K$1999,$B$3)+Setup!$B$4*(COUNTIFS(Attendance!$B$4:$B$1999,$A7,Attendance!$K$4:$K$1999,$B$3,Attendance!$D$4:$D$1999,"Paid Leave")+COUNTIFS(Attendance!$B$4:$B$1999,$A7,Attendance!$K$4:$K$1999,$B$3,Attendance!$D$4:$D$1999,"Holiday")+COUNTIFS(Attendance!$B$4:$B$1999,$A7,Attendance!$K$4:$K$1999,$B$3,Attendance!$D$4:$D$1999,"Weekly Off")))</x:f>
        <x:v>0</x:v>
      </x:c>
      <x:c r="J7" s="39" t="n">
        <x:f>IF($A7="","",SUMIFS(Attendance!$H$4:$H$1999,Attendance!$B$4:$B$1999,$A7,Attendance!$K$4:$K$1999,$B$3))</x:f>
        <x:v>0</x:v>
      </x:c>
      <x:c r="K7" s="40" t="n">
        <x:f>IF($A7="","",Employees!H5*I7)</x:f>
        <x:v>0</x:v>
      </x:c>
      <x:c r="L7" s="40" t="n">
        <x:f>IF($A7="","",Employees!I5*J7)</x:f>
        <x:v>0</x:v>
      </x:c>
      <x:c r="M7" s="40" t="n">
        <x:f>IF($A7="","",K7+L7)</x:f>
        <x:v>0</x:v>
      </x:c>
      <x:c r="N7" s="47"/>
      <x:c r="O7" s="40" t="n">
        <x:f>IF($A7="","",M7-N7)</x:f>
        <x:v>0</x:v>
      </x:c>
    </x:row>
    <x:row r="8">
      <x:c r="A8" s="42" t="str">
        <x:f>Employees!A6</x:f>
        <x:v>EMP003</x:v>
      </x:c>
      <x:c r="B8" s="42" t="str">
        <x:f>Employees!B6</x:f>
        <x:v>Staff 3</x:v>
      </x:c>
      <x:c r="C8" s="42" t="str">
        <x:f>IF(Employees!D6="","",Employees!D6)</x:f>
      </x:c>
      <x:c r="D8" s="40" t="n">
        <x:f>IF(Employees!G6="","",Employees!G6)</x:f>
        <x:v>20000</x:v>
      </x:c>
      <x:c r="E8" s="39" t="n">
        <x:f>IF($A8="","",I8/Setup!$B$4)</x:f>
        <x:v>0</x:v>
      </x:c>
      <x:c r="F8" s="39" t="n">
        <x:f>IF($A8="","",COUNTIFS(Attendance!$B$4:$B$1999,$A8,Attendance!$K$4:$K$1999,$B$3,Attendance!$D$4:$D$1999,"Present")+0.5*COUNTIFS(Attendance!$B$4:$B$1999,$A8,Attendance!$K$4:$K$1999,$B$3,Attendance!$D$4:$D$1999,"Half Day"))</x:f>
        <x:v>0</x:v>
      </x:c>
      <x:c r="G8" s="39" t="n">
        <x:f>IF($A8="","",COUNTIFS(Attendance!$B$4:$B$1999,$A8,Attendance!$K$4:$K$1999,$B$3,Attendance!$D$4:$D$1999,"Paid Leave"))</x:f>
        <x:v>0</x:v>
      </x:c>
      <x:c r="H8" s="39" t="n">
        <x:f>IF($A8="","",COUNTIFS(Attendance!$B$4:$B$1999,$A8,Attendance!$K$4:$K$1999,$B$3,Attendance!$D$4:$D$1999,"Absent")+COUNTIFS(Attendance!$B$4:$B$1999,$A8,Attendance!$K$4:$K$1999,$B$3,Attendance!$D$4:$D$1999,"Unpaid Leave"))</x:f>
        <x:v>0</x:v>
      </x:c>
      <x:c r="I8" s="39" t="n">
        <x:f>IF($A8="","",SUMIFS(Attendance!$G$4:$G$1999,Attendance!$B$4:$B$1999,$A8,Attendance!$K$4:$K$1999,$B$3)+Setup!$B$4*(COUNTIFS(Attendance!$B$4:$B$1999,$A8,Attendance!$K$4:$K$1999,$B$3,Attendance!$D$4:$D$1999,"Paid Leave")+COUNTIFS(Attendance!$B$4:$B$1999,$A8,Attendance!$K$4:$K$1999,$B$3,Attendance!$D$4:$D$1999,"Holiday")+COUNTIFS(Attendance!$B$4:$B$1999,$A8,Attendance!$K$4:$K$1999,$B$3,Attendance!$D$4:$D$1999,"Weekly Off")))</x:f>
        <x:v>0</x:v>
      </x:c>
      <x:c r="J8" s="39" t="n">
        <x:f>IF($A8="","",SUMIFS(Attendance!$H$4:$H$1999,Attendance!$B$4:$B$1999,$A8,Attendance!$K$4:$K$1999,$B$3))</x:f>
        <x:v>0</x:v>
      </x:c>
      <x:c r="K8" s="40" t="n">
        <x:f>IF($A8="","",Employees!H6*I8)</x:f>
        <x:v>0</x:v>
      </x:c>
      <x:c r="L8" s="40" t="n">
        <x:f>IF($A8="","",Employees!I6*J8)</x:f>
        <x:v>0</x:v>
      </x:c>
      <x:c r="M8" s="40" t="n">
        <x:f>IF($A8="","",K8+L8)</x:f>
        <x:v>0</x:v>
      </x:c>
      <x:c r="N8" s="47"/>
      <x:c r="O8" s="40" t="n">
        <x:f>IF($A8="","",M8-N8)</x:f>
        <x:v>0</x:v>
      </x:c>
    </x:row>
    <x:row r="9">
      <x:c r="A9" s="42" t="str">
        <x:f>Employees!A7</x:f>
        <x:v>EMP004</x:v>
      </x:c>
      <x:c r="B9" s="42" t="str">
        <x:f>Employees!B7</x:f>
        <x:v>Staff 4</x:v>
      </x:c>
      <x:c r="C9" s="42" t="str">
        <x:f>IF(Employees!D7="","",Employees!D7)</x:f>
      </x:c>
      <x:c r="D9" s="40" t="n">
        <x:f>IF(Employees!G7="","",Employees!G7)</x:f>
        <x:v>20000</x:v>
      </x:c>
      <x:c r="E9" s="39" t="n">
        <x:f>IF($A9="","",I9/Setup!$B$4)</x:f>
        <x:v>0</x:v>
      </x:c>
      <x:c r="F9" s="39" t="n">
        <x:f>IF($A9="","",COUNTIFS(Attendance!$B$4:$B$1999,$A9,Attendance!$K$4:$K$1999,$B$3,Attendance!$D$4:$D$1999,"Present")+0.5*COUNTIFS(Attendance!$B$4:$B$1999,$A9,Attendance!$K$4:$K$1999,$B$3,Attendance!$D$4:$D$1999,"Half Day"))</x:f>
        <x:v>0</x:v>
      </x:c>
      <x:c r="G9" s="39" t="n">
        <x:f>IF($A9="","",COUNTIFS(Attendance!$B$4:$B$1999,$A9,Attendance!$K$4:$K$1999,$B$3,Attendance!$D$4:$D$1999,"Paid Leave"))</x:f>
        <x:v>0</x:v>
      </x:c>
      <x:c r="H9" s="39" t="n">
        <x:f>IF($A9="","",COUNTIFS(Attendance!$B$4:$B$1999,$A9,Attendance!$K$4:$K$1999,$B$3,Attendance!$D$4:$D$1999,"Absent")+COUNTIFS(Attendance!$B$4:$B$1999,$A9,Attendance!$K$4:$K$1999,$B$3,Attendance!$D$4:$D$1999,"Unpaid Leave"))</x:f>
        <x:v>0</x:v>
      </x:c>
      <x:c r="I9" s="39" t="n">
        <x:f>IF($A9="","",SUMIFS(Attendance!$G$4:$G$1999,Attendance!$B$4:$B$1999,$A9,Attendance!$K$4:$K$1999,$B$3)+Setup!$B$4*(COUNTIFS(Attendance!$B$4:$B$1999,$A9,Attendance!$K$4:$K$1999,$B$3,Attendance!$D$4:$D$1999,"Paid Leave")+COUNTIFS(Attendance!$B$4:$B$1999,$A9,Attendance!$K$4:$K$1999,$B$3,Attendance!$D$4:$D$1999,"Holiday")+COUNTIFS(Attendance!$B$4:$B$1999,$A9,Attendance!$K$4:$K$1999,$B$3,Attendance!$D$4:$D$1999,"Weekly Off")))</x:f>
        <x:v>0</x:v>
      </x:c>
      <x:c r="J9" s="39" t="n">
        <x:f>IF($A9="","",SUMIFS(Attendance!$H$4:$H$1999,Attendance!$B$4:$B$1999,$A9,Attendance!$K$4:$K$1999,$B$3))</x:f>
        <x:v>0</x:v>
      </x:c>
      <x:c r="K9" s="40" t="n">
        <x:f>IF($A9="","",Employees!H7*I9)</x:f>
        <x:v>0</x:v>
      </x:c>
      <x:c r="L9" s="40" t="n">
        <x:f>IF($A9="","",Employees!I7*J9)</x:f>
        <x:v>0</x:v>
      </x:c>
      <x:c r="M9" s="40" t="n">
        <x:f>IF($A9="","",K9+L9)</x:f>
        <x:v>0</x:v>
      </x:c>
      <x:c r="N9" s="47"/>
      <x:c r="O9" s="40" t="n">
        <x:f>IF($A9="","",M9-N9)</x:f>
        <x:v>0</x:v>
      </x:c>
    </x:row>
    <x:row r="10">
      <x:c r="A10" s="42" t="str">
        <x:f>Employees!A8</x:f>
        <x:v>EMP005</x:v>
      </x:c>
      <x:c r="B10" s="42" t="str">
        <x:f>Employees!B8</x:f>
        <x:v>Staff 5</x:v>
      </x:c>
      <x:c r="C10" s="42" t="str">
        <x:f>IF(Employees!D8="","",Employees!D8)</x:f>
      </x:c>
      <x:c r="D10" s="40" t="n">
        <x:f>IF(Employees!G8="","",Employees!G8)</x:f>
        <x:v>20000</x:v>
      </x:c>
      <x:c r="E10" s="39" t="n">
        <x:f>IF($A10="","",I10/Setup!$B$4)</x:f>
        <x:v>0</x:v>
      </x:c>
      <x:c r="F10" s="39" t="n">
        <x:f>IF($A10="","",COUNTIFS(Attendance!$B$4:$B$1999,$A10,Attendance!$K$4:$K$1999,$B$3,Attendance!$D$4:$D$1999,"Present")+0.5*COUNTIFS(Attendance!$B$4:$B$1999,$A10,Attendance!$K$4:$K$1999,$B$3,Attendance!$D$4:$D$1999,"Half Day"))</x:f>
        <x:v>0</x:v>
      </x:c>
      <x:c r="G10" s="39" t="n">
        <x:f>IF($A10="","",COUNTIFS(Attendance!$B$4:$B$1999,$A10,Attendance!$K$4:$K$1999,$B$3,Attendance!$D$4:$D$1999,"Paid Leave"))</x:f>
        <x:v>0</x:v>
      </x:c>
      <x:c r="H10" s="39" t="n">
        <x:f>IF($A10="","",COUNTIFS(Attendance!$B$4:$B$1999,$A10,Attendance!$K$4:$K$1999,$B$3,Attendance!$D$4:$D$1999,"Absent")+COUNTIFS(Attendance!$B$4:$B$1999,$A10,Attendance!$K$4:$K$1999,$B$3,Attendance!$D$4:$D$1999,"Unpaid Leave"))</x:f>
        <x:v>0</x:v>
      </x:c>
      <x:c r="I10" s="39" t="n">
        <x:f>IF($A10="","",SUMIFS(Attendance!$G$4:$G$1999,Attendance!$B$4:$B$1999,$A10,Attendance!$K$4:$K$1999,$B$3)+Setup!$B$4*(COUNTIFS(Attendance!$B$4:$B$1999,$A10,Attendance!$K$4:$K$1999,$B$3,Attendance!$D$4:$D$1999,"Paid Leave")+COUNTIFS(Attendance!$B$4:$B$1999,$A10,Attendance!$K$4:$K$1999,$B$3,Attendance!$D$4:$D$1999,"Holiday")+COUNTIFS(Attendance!$B$4:$B$1999,$A10,Attendance!$K$4:$K$1999,$B$3,Attendance!$D$4:$D$1999,"Weekly Off")))</x:f>
        <x:v>0</x:v>
      </x:c>
      <x:c r="J10" s="39" t="n">
        <x:f>IF($A10="","",SUMIFS(Attendance!$H$4:$H$1999,Attendance!$B$4:$B$1999,$A10,Attendance!$K$4:$K$1999,$B$3))</x:f>
        <x:v>0</x:v>
      </x:c>
      <x:c r="K10" s="40" t="n">
        <x:f>IF($A10="","",Employees!H8*I10)</x:f>
        <x:v>0</x:v>
      </x:c>
      <x:c r="L10" s="40" t="n">
        <x:f>IF($A10="","",Employees!I8*J10)</x:f>
        <x:v>0</x:v>
      </x:c>
      <x:c r="M10" s="40" t="n">
        <x:f>IF($A10="","",K10+L10)</x:f>
        <x:v>0</x:v>
      </x:c>
      <x:c r="N10" s="47"/>
      <x:c r="O10" s="40" t="n">
        <x:f>IF($A10="","",M10-N10)</x:f>
        <x:v>0</x:v>
      </x:c>
    </x:row>
    <x:row r="11">
      <x:c r="A11" s="42" t="str">
        <x:f>Employees!A9</x:f>
        <x:v>EMP006</x:v>
      </x:c>
      <x:c r="B11" s="42" t="str">
        <x:f>Employees!B9</x:f>
        <x:v>Staff 6</x:v>
      </x:c>
      <x:c r="C11" s="42" t="str">
        <x:f>IF(Employees!D9="","",Employees!D9)</x:f>
      </x:c>
      <x:c r="D11" s="40" t="n">
        <x:f>IF(Employees!G9="","",Employees!G9)</x:f>
        <x:v>20000</x:v>
      </x:c>
      <x:c r="E11" s="39" t="n">
        <x:f>IF($A11="","",I11/Setup!$B$4)</x:f>
        <x:v>0</x:v>
      </x:c>
      <x:c r="F11" s="39" t="n">
        <x:f>IF($A11="","",COUNTIFS(Attendance!$B$4:$B$1999,$A11,Attendance!$K$4:$K$1999,$B$3,Attendance!$D$4:$D$1999,"Present")+0.5*COUNTIFS(Attendance!$B$4:$B$1999,$A11,Attendance!$K$4:$K$1999,$B$3,Attendance!$D$4:$D$1999,"Half Day"))</x:f>
        <x:v>0</x:v>
      </x:c>
      <x:c r="G11" s="39" t="n">
        <x:f>IF($A11="","",COUNTIFS(Attendance!$B$4:$B$1999,$A11,Attendance!$K$4:$K$1999,$B$3,Attendance!$D$4:$D$1999,"Paid Leave"))</x:f>
        <x:v>0</x:v>
      </x:c>
      <x:c r="H11" s="39" t="n">
        <x:f>IF($A11="","",COUNTIFS(Attendance!$B$4:$B$1999,$A11,Attendance!$K$4:$K$1999,$B$3,Attendance!$D$4:$D$1999,"Absent")+COUNTIFS(Attendance!$B$4:$B$1999,$A11,Attendance!$K$4:$K$1999,$B$3,Attendance!$D$4:$D$1999,"Unpaid Leave"))</x:f>
        <x:v>0</x:v>
      </x:c>
      <x:c r="I11" s="39" t="n">
        <x:f>IF($A11="","",SUMIFS(Attendance!$G$4:$G$1999,Attendance!$B$4:$B$1999,$A11,Attendance!$K$4:$K$1999,$B$3)+Setup!$B$4*(COUNTIFS(Attendance!$B$4:$B$1999,$A11,Attendance!$K$4:$K$1999,$B$3,Attendance!$D$4:$D$1999,"Paid Leave")+COUNTIFS(Attendance!$B$4:$B$1999,$A11,Attendance!$K$4:$K$1999,$B$3,Attendance!$D$4:$D$1999,"Holiday")+COUNTIFS(Attendance!$B$4:$B$1999,$A11,Attendance!$K$4:$K$1999,$B$3,Attendance!$D$4:$D$1999,"Weekly Off")))</x:f>
        <x:v>0</x:v>
      </x:c>
      <x:c r="J11" s="39" t="n">
        <x:f>IF($A11="","",SUMIFS(Attendance!$H$4:$H$1999,Attendance!$B$4:$B$1999,$A11,Attendance!$K$4:$K$1999,$B$3))</x:f>
        <x:v>0</x:v>
      </x:c>
      <x:c r="K11" s="40" t="n">
        <x:f>IF($A11="","",Employees!H9*I11)</x:f>
        <x:v>0</x:v>
      </x:c>
      <x:c r="L11" s="40" t="n">
        <x:f>IF($A11="","",Employees!I9*J11)</x:f>
        <x:v>0</x:v>
      </x:c>
      <x:c r="M11" s="40" t="n">
        <x:f>IF($A11="","",K11+L11)</x:f>
        <x:v>0</x:v>
      </x:c>
      <x:c r="N11" s="47"/>
      <x:c r="O11" s="40" t="n">
        <x:f>IF($A11="","",M11-N11)</x:f>
        <x:v>0</x:v>
      </x:c>
    </x:row>
    <x:row r="12">
      <x:c r="A12" s="42" t="str">
        <x:f>Employees!A10</x:f>
        <x:v>EMP007</x:v>
      </x:c>
      <x:c r="B12" s="42" t="str">
        <x:f>Employees!B10</x:f>
        <x:v>Staff 7</x:v>
      </x:c>
      <x:c r="C12" s="42" t="str">
        <x:f>IF(Employees!D10="","",Employees!D10)</x:f>
      </x:c>
      <x:c r="D12" s="40" t="n">
        <x:f>IF(Employees!G10="","",Employees!G10)</x:f>
        <x:v>20000</x:v>
      </x:c>
      <x:c r="E12" s="39" t="n">
        <x:f>IF($A12="","",I12/Setup!$B$4)</x:f>
        <x:v>0</x:v>
      </x:c>
      <x:c r="F12" s="39" t="n">
        <x:f>IF($A12="","",COUNTIFS(Attendance!$B$4:$B$1999,$A12,Attendance!$K$4:$K$1999,$B$3,Attendance!$D$4:$D$1999,"Present")+0.5*COUNTIFS(Attendance!$B$4:$B$1999,$A12,Attendance!$K$4:$K$1999,$B$3,Attendance!$D$4:$D$1999,"Half Day"))</x:f>
        <x:v>0</x:v>
      </x:c>
      <x:c r="G12" s="39" t="n">
        <x:f>IF($A12="","",COUNTIFS(Attendance!$B$4:$B$1999,$A12,Attendance!$K$4:$K$1999,$B$3,Attendance!$D$4:$D$1999,"Paid Leave"))</x:f>
        <x:v>0</x:v>
      </x:c>
      <x:c r="H12" s="39" t="n">
        <x:f>IF($A12="","",COUNTIFS(Attendance!$B$4:$B$1999,$A12,Attendance!$K$4:$K$1999,$B$3,Attendance!$D$4:$D$1999,"Absent")+COUNTIFS(Attendance!$B$4:$B$1999,$A12,Attendance!$K$4:$K$1999,$B$3,Attendance!$D$4:$D$1999,"Unpaid Leave"))</x:f>
        <x:v>0</x:v>
      </x:c>
      <x:c r="I12" s="39" t="n">
        <x:f>IF($A12="","",SUMIFS(Attendance!$G$4:$G$1999,Attendance!$B$4:$B$1999,$A12,Attendance!$K$4:$K$1999,$B$3)+Setup!$B$4*(COUNTIFS(Attendance!$B$4:$B$1999,$A12,Attendance!$K$4:$K$1999,$B$3,Attendance!$D$4:$D$1999,"Paid Leave")+COUNTIFS(Attendance!$B$4:$B$1999,$A12,Attendance!$K$4:$K$1999,$B$3,Attendance!$D$4:$D$1999,"Holiday")+COUNTIFS(Attendance!$B$4:$B$1999,$A12,Attendance!$K$4:$K$1999,$B$3,Attendance!$D$4:$D$1999,"Weekly Off")))</x:f>
        <x:v>0</x:v>
      </x:c>
      <x:c r="J12" s="39" t="n">
        <x:f>IF($A12="","",SUMIFS(Attendance!$H$4:$H$1999,Attendance!$B$4:$B$1999,$A12,Attendance!$K$4:$K$1999,$B$3))</x:f>
        <x:v>0</x:v>
      </x:c>
      <x:c r="K12" s="40" t="n">
        <x:f>IF($A12="","",Employees!H10*I12)</x:f>
        <x:v>0</x:v>
      </x:c>
      <x:c r="L12" s="40" t="n">
        <x:f>IF($A12="","",Employees!I10*J12)</x:f>
        <x:v>0</x:v>
      </x:c>
      <x:c r="M12" s="40" t="n">
        <x:f>IF($A12="","",K12+L12)</x:f>
        <x:v>0</x:v>
      </x:c>
      <x:c r="N12" s="47"/>
      <x:c r="O12" s="40" t="n">
        <x:f>IF($A12="","",M12-N12)</x:f>
        <x:v>0</x:v>
      </x:c>
    </x:row>
    <x:row r="13">
      <x:c r="A13" s="42" t="str">
        <x:f>Employees!A11</x:f>
        <x:v>EMP008</x:v>
      </x:c>
      <x:c r="B13" s="42" t="str">
        <x:f>Employees!B11</x:f>
        <x:v>Staff 8</x:v>
      </x:c>
      <x:c r="C13" s="42" t="str">
        <x:f>IF(Employees!D11="","",Employees!D11)</x:f>
      </x:c>
      <x:c r="D13" s="40" t="n">
        <x:f>IF(Employees!G11="","",Employees!G11)</x:f>
        <x:v>20000</x:v>
      </x:c>
      <x:c r="E13" s="39" t="n">
        <x:f>IF($A13="","",I13/Setup!$B$4)</x:f>
        <x:v>0</x:v>
      </x:c>
      <x:c r="F13" s="39" t="n">
        <x:f>IF($A13="","",COUNTIFS(Attendance!$B$4:$B$1999,$A13,Attendance!$K$4:$K$1999,$B$3,Attendance!$D$4:$D$1999,"Present")+0.5*COUNTIFS(Attendance!$B$4:$B$1999,$A13,Attendance!$K$4:$K$1999,$B$3,Attendance!$D$4:$D$1999,"Half Day"))</x:f>
        <x:v>0</x:v>
      </x:c>
      <x:c r="G13" s="39" t="n">
        <x:f>IF($A13="","",COUNTIFS(Attendance!$B$4:$B$1999,$A13,Attendance!$K$4:$K$1999,$B$3,Attendance!$D$4:$D$1999,"Paid Leave"))</x:f>
        <x:v>0</x:v>
      </x:c>
      <x:c r="H13" s="39" t="n">
        <x:f>IF($A13="","",COUNTIFS(Attendance!$B$4:$B$1999,$A13,Attendance!$K$4:$K$1999,$B$3,Attendance!$D$4:$D$1999,"Absent")+COUNTIFS(Attendance!$B$4:$B$1999,$A13,Attendance!$K$4:$K$1999,$B$3,Attendance!$D$4:$D$1999,"Unpaid Leave"))</x:f>
        <x:v>0</x:v>
      </x:c>
      <x:c r="I13" s="39" t="n">
        <x:f>IF($A13="","",SUMIFS(Attendance!$G$4:$G$1999,Attendance!$B$4:$B$1999,$A13,Attendance!$K$4:$K$1999,$B$3)+Setup!$B$4*(COUNTIFS(Attendance!$B$4:$B$1999,$A13,Attendance!$K$4:$K$1999,$B$3,Attendance!$D$4:$D$1999,"Paid Leave")+COUNTIFS(Attendance!$B$4:$B$1999,$A13,Attendance!$K$4:$K$1999,$B$3,Attendance!$D$4:$D$1999,"Holiday")+COUNTIFS(Attendance!$B$4:$B$1999,$A13,Attendance!$K$4:$K$1999,$B$3,Attendance!$D$4:$D$1999,"Weekly Off")))</x:f>
        <x:v>0</x:v>
      </x:c>
      <x:c r="J13" s="39" t="n">
        <x:f>IF($A13="","",SUMIFS(Attendance!$H$4:$H$1999,Attendance!$B$4:$B$1999,$A13,Attendance!$K$4:$K$1999,$B$3))</x:f>
        <x:v>0</x:v>
      </x:c>
      <x:c r="K13" s="40" t="n">
        <x:f>IF($A13="","",Employees!H11*I13)</x:f>
        <x:v>0</x:v>
      </x:c>
      <x:c r="L13" s="40" t="n">
        <x:f>IF($A13="","",Employees!I11*J13)</x:f>
        <x:v>0</x:v>
      </x:c>
      <x:c r="M13" s="40" t="n">
        <x:f>IF($A13="","",K13+L13)</x:f>
        <x:v>0</x:v>
      </x:c>
      <x:c r="N13" s="47"/>
      <x:c r="O13" s="40" t="n">
        <x:f>IF($A13="","",M13-N13)</x:f>
        <x:v>0</x:v>
      </x:c>
    </x:row>
    <x:row r="14">
      <x:c r="A14" s="42" t="str">
        <x:f>Employees!A12</x:f>
        <x:v>EMP009</x:v>
      </x:c>
      <x:c r="B14" s="42" t="str">
        <x:f>Employees!B12</x:f>
        <x:v>Staff 9</x:v>
      </x:c>
      <x:c r="C14" s="42" t="str">
        <x:f>IF(Employees!D12="","",Employees!D12)</x:f>
      </x:c>
      <x:c r="D14" s="40" t="n">
        <x:f>IF(Employees!G12="","",Employees!G12)</x:f>
        <x:v>20000</x:v>
      </x:c>
      <x:c r="E14" s="39" t="n">
        <x:f>IF($A14="","",I14/Setup!$B$4)</x:f>
        <x:v>0</x:v>
      </x:c>
      <x:c r="F14" s="39" t="n">
        <x:f>IF($A14="","",COUNTIFS(Attendance!$B$4:$B$1999,$A14,Attendance!$K$4:$K$1999,$B$3,Attendance!$D$4:$D$1999,"Present")+0.5*COUNTIFS(Attendance!$B$4:$B$1999,$A14,Attendance!$K$4:$K$1999,$B$3,Attendance!$D$4:$D$1999,"Half Day"))</x:f>
        <x:v>0</x:v>
      </x:c>
      <x:c r="G14" s="39" t="n">
        <x:f>IF($A14="","",COUNTIFS(Attendance!$B$4:$B$1999,$A14,Attendance!$K$4:$K$1999,$B$3,Attendance!$D$4:$D$1999,"Paid Leave"))</x:f>
        <x:v>0</x:v>
      </x:c>
      <x:c r="H14" s="39" t="n">
        <x:f>IF($A14="","",COUNTIFS(Attendance!$B$4:$B$1999,$A14,Attendance!$K$4:$K$1999,$B$3,Attendance!$D$4:$D$1999,"Absent")+COUNTIFS(Attendance!$B$4:$B$1999,$A14,Attendance!$K$4:$K$1999,$B$3,Attendance!$D$4:$D$1999,"Unpaid Leave"))</x:f>
        <x:v>0</x:v>
      </x:c>
      <x:c r="I14" s="39" t="n">
        <x:f>IF($A14="","",SUMIFS(Attendance!$G$4:$G$1999,Attendance!$B$4:$B$1999,$A14,Attendance!$K$4:$K$1999,$B$3)+Setup!$B$4*(COUNTIFS(Attendance!$B$4:$B$1999,$A14,Attendance!$K$4:$K$1999,$B$3,Attendance!$D$4:$D$1999,"Paid Leave")+COUNTIFS(Attendance!$B$4:$B$1999,$A14,Attendance!$K$4:$K$1999,$B$3,Attendance!$D$4:$D$1999,"Holiday")+COUNTIFS(Attendance!$B$4:$B$1999,$A14,Attendance!$K$4:$K$1999,$B$3,Attendance!$D$4:$D$1999,"Weekly Off")))</x:f>
        <x:v>0</x:v>
      </x:c>
      <x:c r="J14" s="39" t="n">
        <x:f>IF($A14="","",SUMIFS(Attendance!$H$4:$H$1999,Attendance!$B$4:$B$1999,$A14,Attendance!$K$4:$K$1999,$B$3))</x:f>
        <x:v>0</x:v>
      </x:c>
      <x:c r="K14" s="40" t="n">
        <x:f>IF($A14="","",Employees!H12*I14)</x:f>
        <x:v>0</x:v>
      </x:c>
      <x:c r="L14" s="40" t="n">
        <x:f>IF($A14="","",Employees!I12*J14)</x:f>
        <x:v>0</x:v>
      </x:c>
      <x:c r="M14" s="40" t="n">
        <x:f>IF($A14="","",K14+L14)</x:f>
        <x:v>0</x:v>
      </x:c>
      <x:c r="N14" s="47"/>
      <x:c r="O14" s="40" t="n">
        <x:f>IF($A14="","",M14-N14)</x:f>
        <x:v>0</x:v>
      </x:c>
    </x:row>
    <x:row r="15">
      <x:c r="A15" s="42" t="str">
        <x:f>Employees!A13</x:f>
        <x:v>EMP010</x:v>
      </x:c>
      <x:c r="B15" s="42" t="str">
        <x:f>Employees!B13</x:f>
        <x:v>Staff 10</x:v>
      </x:c>
      <x:c r="C15" s="42" t="str">
        <x:f>IF(Employees!D13="","",Employees!D13)</x:f>
      </x:c>
      <x:c r="D15" s="40" t="n">
        <x:f>IF(Employees!G13="","",Employees!G13)</x:f>
        <x:v>20000</x:v>
      </x:c>
      <x:c r="E15" s="39" t="n">
        <x:f>IF($A15="","",I15/Setup!$B$4)</x:f>
        <x:v>0</x:v>
      </x:c>
      <x:c r="F15" s="39" t="n">
        <x:f>IF($A15="","",COUNTIFS(Attendance!$B$4:$B$1999,$A15,Attendance!$K$4:$K$1999,$B$3,Attendance!$D$4:$D$1999,"Present")+0.5*COUNTIFS(Attendance!$B$4:$B$1999,$A15,Attendance!$K$4:$K$1999,$B$3,Attendance!$D$4:$D$1999,"Half Day"))</x:f>
        <x:v>0</x:v>
      </x:c>
      <x:c r="G15" s="39" t="n">
        <x:f>IF($A15="","",COUNTIFS(Attendance!$B$4:$B$1999,$A15,Attendance!$K$4:$K$1999,$B$3,Attendance!$D$4:$D$1999,"Paid Leave"))</x:f>
        <x:v>0</x:v>
      </x:c>
      <x:c r="H15" s="39" t="n">
        <x:f>IF($A15="","",COUNTIFS(Attendance!$B$4:$B$1999,$A15,Attendance!$K$4:$K$1999,$B$3,Attendance!$D$4:$D$1999,"Absent")+COUNTIFS(Attendance!$B$4:$B$1999,$A15,Attendance!$K$4:$K$1999,$B$3,Attendance!$D$4:$D$1999,"Unpaid Leave"))</x:f>
        <x:v>0</x:v>
      </x:c>
      <x:c r="I15" s="39" t="n">
        <x:f>IF($A15="","",SUMIFS(Attendance!$G$4:$G$1999,Attendance!$B$4:$B$1999,$A15,Attendance!$K$4:$K$1999,$B$3)+Setup!$B$4*(COUNTIFS(Attendance!$B$4:$B$1999,$A15,Attendance!$K$4:$K$1999,$B$3,Attendance!$D$4:$D$1999,"Paid Leave")+COUNTIFS(Attendance!$B$4:$B$1999,$A15,Attendance!$K$4:$K$1999,$B$3,Attendance!$D$4:$D$1999,"Holiday")+COUNTIFS(Attendance!$B$4:$B$1999,$A15,Attendance!$K$4:$K$1999,$B$3,Attendance!$D$4:$D$1999,"Weekly Off")))</x:f>
        <x:v>0</x:v>
      </x:c>
      <x:c r="J15" s="39" t="n">
        <x:f>IF($A15="","",SUMIFS(Attendance!$H$4:$H$1999,Attendance!$B$4:$B$1999,$A15,Attendance!$K$4:$K$1999,$B$3))</x:f>
        <x:v>0</x:v>
      </x:c>
      <x:c r="K15" s="40" t="n">
        <x:f>IF($A15="","",Employees!H13*I15)</x:f>
        <x:v>0</x:v>
      </x:c>
      <x:c r="L15" s="40" t="n">
        <x:f>IF($A15="","",Employees!I13*J15)</x:f>
        <x:v>0</x:v>
      </x:c>
      <x:c r="M15" s="40" t="n">
        <x:f>IF($A15="","",K15+L15)</x:f>
        <x:v>0</x:v>
      </x:c>
      <x:c r="N15" s="47"/>
      <x:c r="O15" s="40" t="n">
        <x:f>IF($A15="","",M15-N15)</x:f>
        <x:v>0</x:v>
      </x:c>
    </x:row>
    <x:row r="16">
      <x:c r="A16" s="42" t="str">
        <x:f>Employees!A14</x:f>
        <x:v>EMP011</x:v>
      </x:c>
      <x:c r="B16" s="42" t="str">
        <x:f>Employees!B14</x:f>
        <x:v>Staff 11</x:v>
      </x:c>
      <x:c r="C16" s="42" t="str">
        <x:f>IF(Employees!D14="","",Employees!D14)</x:f>
      </x:c>
      <x:c r="D16" s="40" t="n">
        <x:f>IF(Employees!G14="","",Employees!G14)</x:f>
        <x:v>20000</x:v>
      </x:c>
      <x:c r="E16" s="39" t="n">
        <x:f>IF($A16="","",I16/Setup!$B$4)</x:f>
        <x:v>0</x:v>
      </x:c>
      <x:c r="F16" s="39" t="n">
        <x:f>IF($A16="","",COUNTIFS(Attendance!$B$4:$B$1999,$A16,Attendance!$K$4:$K$1999,$B$3,Attendance!$D$4:$D$1999,"Present")+0.5*COUNTIFS(Attendance!$B$4:$B$1999,$A16,Attendance!$K$4:$K$1999,$B$3,Attendance!$D$4:$D$1999,"Half Day"))</x:f>
        <x:v>0</x:v>
      </x:c>
      <x:c r="G16" s="39" t="n">
        <x:f>IF($A16="","",COUNTIFS(Attendance!$B$4:$B$1999,$A16,Attendance!$K$4:$K$1999,$B$3,Attendance!$D$4:$D$1999,"Paid Leave"))</x:f>
        <x:v>0</x:v>
      </x:c>
      <x:c r="H16" s="39" t="n">
        <x:f>IF($A16="","",COUNTIFS(Attendance!$B$4:$B$1999,$A16,Attendance!$K$4:$K$1999,$B$3,Attendance!$D$4:$D$1999,"Absent")+COUNTIFS(Attendance!$B$4:$B$1999,$A16,Attendance!$K$4:$K$1999,$B$3,Attendance!$D$4:$D$1999,"Unpaid Leave"))</x:f>
        <x:v>0</x:v>
      </x:c>
      <x:c r="I16" s="39" t="n">
        <x:f>IF($A16="","",SUMIFS(Attendance!$G$4:$G$1999,Attendance!$B$4:$B$1999,$A16,Attendance!$K$4:$K$1999,$B$3)+Setup!$B$4*(COUNTIFS(Attendance!$B$4:$B$1999,$A16,Attendance!$K$4:$K$1999,$B$3,Attendance!$D$4:$D$1999,"Paid Leave")+COUNTIFS(Attendance!$B$4:$B$1999,$A16,Attendance!$K$4:$K$1999,$B$3,Attendance!$D$4:$D$1999,"Holiday")+COUNTIFS(Attendance!$B$4:$B$1999,$A16,Attendance!$K$4:$K$1999,$B$3,Attendance!$D$4:$D$1999,"Weekly Off")))</x:f>
        <x:v>0</x:v>
      </x:c>
      <x:c r="J16" s="39" t="n">
        <x:f>IF($A16="","",SUMIFS(Attendance!$H$4:$H$1999,Attendance!$B$4:$B$1999,$A16,Attendance!$K$4:$K$1999,$B$3))</x:f>
        <x:v>0</x:v>
      </x:c>
      <x:c r="K16" s="40" t="n">
        <x:f>IF($A16="","",Employees!H14*I16)</x:f>
        <x:v>0</x:v>
      </x:c>
      <x:c r="L16" s="40" t="n">
        <x:f>IF($A16="","",Employees!I14*J16)</x:f>
        <x:v>0</x:v>
      </x:c>
      <x:c r="M16" s="40" t="n">
        <x:f>IF($A16="","",K16+L16)</x:f>
        <x:v>0</x:v>
      </x:c>
      <x:c r="N16" s="47"/>
      <x:c r="O16" s="40" t="n">
        <x:f>IF($A16="","",M16-N16)</x:f>
        <x:v>0</x:v>
      </x:c>
    </x:row>
    <x:row r="17">
      <x:c r="A17" s="42" t="str">
        <x:f>Employees!A15</x:f>
        <x:v>EMP012</x:v>
      </x:c>
      <x:c r="B17" s="42" t="str">
        <x:f>Employees!B15</x:f>
        <x:v>Staff 12</x:v>
      </x:c>
      <x:c r="C17" s="42" t="str">
        <x:f>IF(Employees!D15="","",Employees!D15)</x:f>
      </x:c>
      <x:c r="D17" s="40" t="n">
        <x:f>IF(Employees!G15="","",Employees!G15)</x:f>
        <x:v>20000</x:v>
      </x:c>
      <x:c r="E17" s="39" t="n">
        <x:f>IF($A17="","",I17/Setup!$B$4)</x:f>
        <x:v>0</x:v>
      </x:c>
      <x:c r="F17" s="39" t="n">
        <x:f>IF($A17="","",COUNTIFS(Attendance!$B$4:$B$1999,$A17,Attendance!$K$4:$K$1999,$B$3,Attendance!$D$4:$D$1999,"Present")+0.5*COUNTIFS(Attendance!$B$4:$B$1999,$A17,Attendance!$K$4:$K$1999,$B$3,Attendance!$D$4:$D$1999,"Half Day"))</x:f>
        <x:v>0</x:v>
      </x:c>
      <x:c r="G17" s="39" t="n">
        <x:f>IF($A17="","",COUNTIFS(Attendance!$B$4:$B$1999,$A17,Attendance!$K$4:$K$1999,$B$3,Attendance!$D$4:$D$1999,"Paid Leave"))</x:f>
        <x:v>0</x:v>
      </x:c>
      <x:c r="H17" s="39" t="n">
        <x:f>IF($A17="","",COUNTIFS(Attendance!$B$4:$B$1999,$A17,Attendance!$K$4:$K$1999,$B$3,Attendance!$D$4:$D$1999,"Absent")+COUNTIFS(Attendance!$B$4:$B$1999,$A17,Attendance!$K$4:$K$1999,$B$3,Attendance!$D$4:$D$1999,"Unpaid Leave"))</x:f>
        <x:v>0</x:v>
      </x:c>
      <x:c r="I17" s="39" t="n">
        <x:f>IF($A17="","",SUMIFS(Attendance!$G$4:$G$1999,Attendance!$B$4:$B$1999,$A17,Attendance!$K$4:$K$1999,$B$3)+Setup!$B$4*(COUNTIFS(Attendance!$B$4:$B$1999,$A17,Attendance!$K$4:$K$1999,$B$3,Attendance!$D$4:$D$1999,"Paid Leave")+COUNTIFS(Attendance!$B$4:$B$1999,$A17,Attendance!$K$4:$K$1999,$B$3,Attendance!$D$4:$D$1999,"Holiday")+COUNTIFS(Attendance!$B$4:$B$1999,$A17,Attendance!$K$4:$K$1999,$B$3,Attendance!$D$4:$D$1999,"Weekly Off")))</x:f>
        <x:v>0</x:v>
      </x:c>
      <x:c r="J17" s="39" t="n">
        <x:f>IF($A17="","",SUMIFS(Attendance!$H$4:$H$1999,Attendance!$B$4:$B$1999,$A17,Attendance!$K$4:$K$1999,$B$3))</x:f>
        <x:v>0</x:v>
      </x:c>
      <x:c r="K17" s="40" t="n">
        <x:f>IF($A17="","",Employees!H15*I17)</x:f>
        <x:v>0</x:v>
      </x:c>
      <x:c r="L17" s="40" t="n">
        <x:f>IF($A17="","",Employees!I15*J17)</x:f>
        <x:v>0</x:v>
      </x:c>
      <x:c r="M17" s="40" t="n">
        <x:f>IF($A17="","",K17+L17)</x:f>
        <x:v>0</x:v>
      </x:c>
      <x:c r="N17" s="47"/>
      <x:c r="O17" s="40" t="n">
        <x:f>IF($A17="","",M17-N17)</x:f>
        <x:v>0</x:v>
      </x:c>
    </x:row>
    <x:row r="18">
      <x:c r="A18" s="42" t="str">
        <x:f>Employees!A16</x:f>
        <x:v>EMP013</x:v>
      </x:c>
      <x:c r="B18" s="42" t="str">
        <x:f>Employees!B16</x:f>
        <x:v>Staff 13</x:v>
      </x:c>
      <x:c r="C18" s="42" t="str">
        <x:f>IF(Employees!D16="","",Employees!D16)</x:f>
      </x:c>
      <x:c r="D18" s="40" t="n">
        <x:f>IF(Employees!G16="","",Employees!G16)</x:f>
        <x:v>20000</x:v>
      </x:c>
      <x:c r="E18" s="39" t="n">
        <x:f>IF($A18="","",I18/Setup!$B$4)</x:f>
        <x:v>0</x:v>
      </x:c>
      <x:c r="F18" s="39" t="n">
        <x:f>IF($A18="","",COUNTIFS(Attendance!$B$4:$B$1999,$A18,Attendance!$K$4:$K$1999,$B$3,Attendance!$D$4:$D$1999,"Present")+0.5*COUNTIFS(Attendance!$B$4:$B$1999,$A18,Attendance!$K$4:$K$1999,$B$3,Attendance!$D$4:$D$1999,"Half Day"))</x:f>
        <x:v>0</x:v>
      </x:c>
      <x:c r="G18" s="39" t="n">
        <x:f>IF($A18="","",COUNTIFS(Attendance!$B$4:$B$1999,$A18,Attendance!$K$4:$K$1999,$B$3,Attendance!$D$4:$D$1999,"Paid Leave"))</x:f>
        <x:v>0</x:v>
      </x:c>
      <x:c r="H18" s="39" t="n">
        <x:f>IF($A18="","",COUNTIFS(Attendance!$B$4:$B$1999,$A18,Attendance!$K$4:$K$1999,$B$3,Attendance!$D$4:$D$1999,"Absent")+COUNTIFS(Attendance!$B$4:$B$1999,$A18,Attendance!$K$4:$K$1999,$B$3,Attendance!$D$4:$D$1999,"Unpaid Leave"))</x:f>
        <x:v>0</x:v>
      </x:c>
      <x:c r="I18" s="39" t="n">
        <x:f>IF($A18="","",SUMIFS(Attendance!$G$4:$G$1999,Attendance!$B$4:$B$1999,$A18,Attendance!$K$4:$K$1999,$B$3)+Setup!$B$4*(COUNTIFS(Attendance!$B$4:$B$1999,$A18,Attendance!$K$4:$K$1999,$B$3,Attendance!$D$4:$D$1999,"Paid Leave")+COUNTIFS(Attendance!$B$4:$B$1999,$A18,Attendance!$K$4:$K$1999,$B$3,Attendance!$D$4:$D$1999,"Holiday")+COUNTIFS(Attendance!$B$4:$B$1999,$A18,Attendance!$K$4:$K$1999,$B$3,Attendance!$D$4:$D$1999,"Weekly Off")))</x:f>
        <x:v>0</x:v>
      </x:c>
      <x:c r="J18" s="39" t="n">
        <x:f>IF($A18="","",SUMIFS(Attendance!$H$4:$H$1999,Attendance!$B$4:$B$1999,$A18,Attendance!$K$4:$K$1999,$B$3))</x:f>
        <x:v>0</x:v>
      </x:c>
      <x:c r="K18" s="40" t="n">
        <x:f>IF($A18="","",Employees!H16*I18)</x:f>
        <x:v>0</x:v>
      </x:c>
      <x:c r="L18" s="40" t="n">
        <x:f>IF($A18="","",Employees!I16*J18)</x:f>
        <x:v>0</x:v>
      </x:c>
      <x:c r="M18" s="40" t="n">
        <x:f>IF($A18="","",K18+L18)</x:f>
        <x:v>0</x:v>
      </x:c>
      <x:c r="N18" s="47"/>
      <x:c r="O18" s="40" t="n">
        <x:f>IF($A18="","",M18-N18)</x:f>
        <x:v>0</x:v>
      </x:c>
    </x:row>
    <x:row r="19">
      <x:c r="A19" s="42" t="str">
        <x:f>Employees!A17</x:f>
        <x:v>EMP014</x:v>
      </x:c>
      <x:c r="B19" s="42" t="str">
        <x:f>Employees!B17</x:f>
        <x:v>Staff 14</x:v>
      </x:c>
      <x:c r="C19" s="42" t="str">
        <x:f>IF(Employees!D17="","",Employees!D17)</x:f>
      </x:c>
      <x:c r="D19" s="40" t="n">
        <x:f>IF(Employees!G17="","",Employees!G17)</x:f>
        <x:v>20000</x:v>
      </x:c>
      <x:c r="E19" s="39" t="n">
        <x:f>IF($A19="","",I19/Setup!$B$4)</x:f>
        <x:v>0</x:v>
      </x:c>
      <x:c r="F19" s="39" t="n">
        <x:f>IF($A19="","",COUNTIFS(Attendance!$B$4:$B$1999,$A19,Attendance!$K$4:$K$1999,$B$3,Attendance!$D$4:$D$1999,"Present")+0.5*COUNTIFS(Attendance!$B$4:$B$1999,$A19,Attendance!$K$4:$K$1999,$B$3,Attendance!$D$4:$D$1999,"Half Day"))</x:f>
        <x:v>0</x:v>
      </x:c>
      <x:c r="G19" s="39" t="n">
        <x:f>IF($A19="","",COUNTIFS(Attendance!$B$4:$B$1999,$A19,Attendance!$K$4:$K$1999,$B$3,Attendance!$D$4:$D$1999,"Paid Leave"))</x:f>
        <x:v>0</x:v>
      </x:c>
      <x:c r="H19" s="39" t="n">
        <x:f>IF($A19="","",COUNTIFS(Attendance!$B$4:$B$1999,$A19,Attendance!$K$4:$K$1999,$B$3,Attendance!$D$4:$D$1999,"Absent")+COUNTIFS(Attendance!$B$4:$B$1999,$A19,Attendance!$K$4:$K$1999,$B$3,Attendance!$D$4:$D$1999,"Unpaid Leave"))</x:f>
        <x:v>0</x:v>
      </x:c>
      <x:c r="I19" s="39" t="n">
        <x:f>IF($A19="","",SUMIFS(Attendance!$G$4:$G$1999,Attendance!$B$4:$B$1999,$A19,Attendance!$K$4:$K$1999,$B$3)+Setup!$B$4*(COUNTIFS(Attendance!$B$4:$B$1999,$A19,Attendance!$K$4:$K$1999,$B$3,Attendance!$D$4:$D$1999,"Paid Leave")+COUNTIFS(Attendance!$B$4:$B$1999,$A19,Attendance!$K$4:$K$1999,$B$3,Attendance!$D$4:$D$1999,"Holiday")+COUNTIFS(Attendance!$B$4:$B$1999,$A19,Attendance!$K$4:$K$1999,$B$3,Attendance!$D$4:$D$1999,"Weekly Off")))</x:f>
        <x:v>0</x:v>
      </x:c>
      <x:c r="J19" s="39" t="n">
        <x:f>IF($A19="","",SUMIFS(Attendance!$H$4:$H$1999,Attendance!$B$4:$B$1999,$A19,Attendance!$K$4:$K$1999,$B$3))</x:f>
        <x:v>0</x:v>
      </x:c>
      <x:c r="K19" s="40" t="n">
        <x:f>IF($A19="","",Employees!H17*I19)</x:f>
        <x:v>0</x:v>
      </x:c>
      <x:c r="L19" s="40" t="n">
        <x:f>IF($A19="","",Employees!I17*J19)</x:f>
        <x:v>0</x:v>
      </x:c>
      <x:c r="M19" s="40" t="n">
        <x:f>IF($A19="","",K19+L19)</x:f>
        <x:v>0</x:v>
      </x:c>
      <x:c r="N19" s="47"/>
      <x:c r="O19" s="40" t="n">
        <x:f>IF($A19="","",M19-N19)</x:f>
        <x:v>0</x:v>
      </x:c>
    </x:row>
    <x:row r="20">
      <x:c r="A20" s="42" t="str">
        <x:f>Employees!A18</x:f>
        <x:v>EMP015</x:v>
      </x:c>
      <x:c r="B20" s="42" t="str">
        <x:f>Employees!B18</x:f>
        <x:v>Staff 15</x:v>
      </x:c>
      <x:c r="C20" s="42" t="str">
        <x:f>IF(Employees!D18="","",Employees!D18)</x:f>
      </x:c>
      <x:c r="D20" s="40" t="n">
        <x:f>IF(Employees!G18="","",Employees!G18)</x:f>
        <x:v>20000</x:v>
      </x:c>
      <x:c r="E20" s="39" t="n">
        <x:f>IF($A20="","",I20/Setup!$B$4)</x:f>
        <x:v>0</x:v>
      </x:c>
      <x:c r="F20" s="39" t="n">
        <x:f>IF($A20="","",COUNTIFS(Attendance!$B$4:$B$1999,$A20,Attendance!$K$4:$K$1999,$B$3,Attendance!$D$4:$D$1999,"Present")+0.5*COUNTIFS(Attendance!$B$4:$B$1999,$A20,Attendance!$K$4:$K$1999,$B$3,Attendance!$D$4:$D$1999,"Half Day"))</x:f>
        <x:v>0</x:v>
      </x:c>
      <x:c r="G20" s="39" t="n">
        <x:f>IF($A20="","",COUNTIFS(Attendance!$B$4:$B$1999,$A20,Attendance!$K$4:$K$1999,$B$3,Attendance!$D$4:$D$1999,"Paid Leave"))</x:f>
        <x:v>0</x:v>
      </x:c>
      <x:c r="H20" s="39" t="n">
        <x:f>IF($A20="","",COUNTIFS(Attendance!$B$4:$B$1999,$A20,Attendance!$K$4:$K$1999,$B$3,Attendance!$D$4:$D$1999,"Absent")+COUNTIFS(Attendance!$B$4:$B$1999,$A20,Attendance!$K$4:$K$1999,$B$3,Attendance!$D$4:$D$1999,"Unpaid Leave"))</x:f>
        <x:v>0</x:v>
      </x:c>
      <x:c r="I20" s="39" t="n">
        <x:f>IF($A20="","",SUMIFS(Attendance!$G$4:$G$1999,Attendance!$B$4:$B$1999,$A20,Attendance!$K$4:$K$1999,$B$3)+Setup!$B$4*(COUNTIFS(Attendance!$B$4:$B$1999,$A20,Attendance!$K$4:$K$1999,$B$3,Attendance!$D$4:$D$1999,"Paid Leave")+COUNTIFS(Attendance!$B$4:$B$1999,$A20,Attendance!$K$4:$K$1999,$B$3,Attendance!$D$4:$D$1999,"Holiday")+COUNTIFS(Attendance!$B$4:$B$1999,$A20,Attendance!$K$4:$K$1999,$B$3,Attendance!$D$4:$D$1999,"Weekly Off")))</x:f>
        <x:v>0</x:v>
      </x:c>
      <x:c r="J20" s="39" t="n">
        <x:f>IF($A20="","",SUMIFS(Attendance!$H$4:$H$1999,Attendance!$B$4:$B$1999,$A20,Attendance!$K$4:$K$1999,$B$3))</x:f>
        <x:v>0</x:v>
      </x:c>
      <x:c r="K20" s="40" t="n">
        <x:f>IF($A20="","",Employees!H18*I20)</x:f>
        <x:v>0</x:v>
      </x:c>
      <x:c r="L20" s="40" t="n">
        <x:f>IF($A20="","",Employees!I18*J20)</x:f>
        <x:v>0</x:v>
      </x:c>
      <x:c r="M20" s="40" t="n">
        <x:f>IF($A20="","",K20+L20)</x:f>
        <x:v>0</x:v>
      </x:c>
      <x:c r="N20" s="47"/>
      <x:c r="O20" s="40" t="n">
        <x:f>IF($A20="","",M20-N20)</x:f>
        <x:v>0</x:v>
      </x:c>
    </x:row>
    <x:row r="21">
      <x:c r="A21" s="42" t="str">
        <x:f>Employees!A19</x:f>
        <x:v>EMP016</x:v>
      </x:c>
      <x:c r="B21" s="42" t="str">
        <x:f>Employees!B19</x:f>
        <x:v>Staff 16</x:v>
      </x:c>
      <x:c r="C21" s="42" t="str">
        <x:f>IF(Employees!D19="","",Employees!D19)</x:f>
      </x:c>
      <x:c r="D21" s="40" t="n">
        <x:f>IF(Employees!G19="","",Employees!G19)</x:f>
        <x:v>20000</x:v>
      </x:c>
      <x:c r="E21" s="39" t="n">
        <x:f>IF($A21="","",I21/Setup!$B$4)</x:f>
        <x:v>0</x:v>
      </x:c>
      <x:c r="F21" s="39" t="n">
        <x:f>IF($A21="","",COUNTIFS(Attendance!$B$4:$B$1999,$A21,Attendance!$K$4:$K$1999,$B$3,Attendance!$D$4:$D$1999,"Present")+0.5*COUNTIFS(Attendance!$B$4:$B$1999,$A21,Attendance!$K$4:$K$1999,$B$3,Attendance!$D$4:$D$1999,"Half Day"))</x:f>
        <x:v>0</x:v>
      </x:c>
      <x:c r="G21" s="39" t="n">
        <x:f>IF($A21="","",COUNTIFS(Attendance!$B$4:$B$1999,$A21,Attendance!$K$4:$K$1999,$B$3,Attendance!$D$4:$D$1999,"Paid Leave"))</x:f>
        <x:v>0</x:v>
      </x:c>
      <x:c r="H21" s="39" t="n">
        <x:f>IF($A21="","",COUNTIFS(Attendance!$B$4:$B$1999,$A21,Attendance!$K$4:$K$1999,$B$3,Attendance!$D$4:$D$1999,"Absent")+COUNTIFS(Attendance!$B$4:$B$1999,$A21,Attendance!$K$4:$K$1999,$B$3,Attendance!$D$4:$D$1999,"Unpaid Leave"))</x:f>
        <x:v>0</x:v>
      </x:c>
      <x:c r="I21" s="39" t="n">
        <x:f>IF($A21="","",SUMIFS(Attendance!$G$4:$G$1999,Attendance!$B$4:$B$1999,$A21,Attendance!$K$4:$K$1999,$B$3)+Setup!$B$4*(COUNTIFS(Attendance!$B$4:$B$1999,$A21,Attendance!$K$4:$K$1999,$B$3,Attendance!$D$4:$D$1999,"Paid Leave")+COUNTIFS(Attendance!$B$4:$B$1999,$A21,Attendance!$K$4:$K$1999,$B$3,Attendance!$D$4:$D$1999,"Holiday")+COUNTIFS(Attendance!$B$4:$B$1999,$A21,Attendance!$K$4:$K$1999,$B$3,Attendance!$D$4:$D$1999,"Weekly Off")))</x:f>
        <x:v>0</x:v>
      </x:c>
      <x:c r="J21" s="39" t="n">
        <x:f>IF($A21="","",SUMIFS(Attendance!$H$4:$H$1999,Attendance!$B$4:$B$1999,$A21,Attendance!$K$4:$K$1999,$B$3))</x:f>
        <x:v>0</x:v>
      </x:c>
      <x:c r="K21" s="40" t="n">
        <x:f>IF($A21="","",Employees!H19*I21)</x:f>
        <x:v>0</x:v>
      </x:c>
      <x:c r="L21" s="40" t="n">
        <x:f>IF($A21="","",Employees!I19*J21)</x:f>
        <x:v>0</x:v>
      </x:c>
      <x:c r="M21" s="40" t="n">
        <x:f>IF($A21="","",K21+L21)</x:f>
        <x:v>0</x:v>
      </x:c>
      <x:c r="N21" s="47"/>
      <x:c r="O21" s="40" t="n">
        <x:f>IF($A21="","",M21-N21)</x:f>
        <x:v>0</x:v>
      </x:c>
    </x:row>
    <x:row r="22">
      <x:c r="A22" s="42" t="str">
        <x:f>Employees!A20</x:f>
        <x:v>EMP017</x:v>
      </x:c>
      <x:c r="B22" s="42" t="str">
        <x:f>Employees!B20</x:f>
        <x:v>Staff 17</x:v>
      </x:c>
      <x:c r="C22" s="42" t="str">
        <x:f>IF(Employees!D20="","",Employees!D20)</x:f>
      </x:c>
      <x:c r="D22" s="40" t="n">
        <x:f>IF(Employees!G20="","",Employees!G20)</x:f>
        <x:v>20000</x:v>
      </x:c>
      <x:c r="E22" s="39" t="n">
        <x:f>IF($A22="","",I22/Setup!$B$4)</x:f>
        <x:v>0</x:v>
      </x:c>
      <x:c r="F22" s="39" t="n">
        <x:f>IF($A22="","",COUNTIFS(Attendance!$B$4:$B$1999,$A22,Attendance!$K$4:$K$1999,$B$3,Attendance!$D$4:$D$1999,"Present")+0.5*COUNTIFS(Attendance!$B$4:$B$1999,$A22,Attendance!$K$4:$K$1999,$B$3,Attendance!$D$4:$D$1999,"Half Day"))</x:f>
        <x:v>0</x:v>
      </x:c>
      <x:c r="G22" s="39" t="n">
        <x:f>IF($A22="","",COUNTIFS(Attendance!$B$4:$B$1999,$A22,Attendance!$K$4:$K$1999,$B$3,Attendance!$D$4:$D$1999,"Paid Leave"))</x:f>
        <x:v>0</x:v>
      </x:c>
      <x:c r="H22" s="39" t="n">
        <x:f>IF($A22="","",COUNTIFS(Attendance!$B$4:$B$1999,$A22,Attendance!$K$4:$K$1999,$B$3,Attendance!$D$4:$D$1999,"Absent")+COUNTIFS(Attendance!$B$4:$B$1999,$A22,Attendance!$K$4:$K$1999,$B$3,Attendance!$D$4:$D$1999,"Unpaid Leave"))</x:f>
        <x:v>0</x:v>
      </x:c>
      <x:c r="I22" s="39" t="n">
        <x:f>IF($A22="","",SUMIFS(Attendance!$G$4:$G$1999,Attendance!$B$4:$B$1999,$A22,Attendance!$K$4:$K$1999,$B$3)+Setup!$B$4*(COUNTIFS(Attendance!$B$4:$B$1999,$A22,Attendance!$K$4:$K$1999,$B$3,Attendance!$D$4:$D$1999,"Paid Leave")+COUNTIFS(Attendance!$B$4:$B$1999,$A22,Attendance!$K$4:$K$1999,$B$3,Attendance!$D$4:$D$1999,"Holiday")+COUNTIFS(Attendance!$B$4:$B$1999,$A22,Attendance!$K$4:$K$1999,$B$3,Attendance!$D$4:$D$1999,"Weekly Off")))</x:f>
        <x:v>0</x:v>
      </x:c>
      <x:c r="J22" s="39" t="n">
        <x:f>IF($A22="","",SUMIFS(Attendance!$H$4:$H$1999,Attendance!$B$4:$B$1999,$A22,Attendance!$K$4:$K$1999,$B$3))</x:f>
        <x:v>0</x:v>
      </x:c>
      <x:c r="K22" s="40" t="n">
        <x:f>IF($A22="","",Employees!H20*I22)</x:f>
        <x:v>0</x:v>
      </x:c>
      <x:c r="L22" s="40" t="n">
        <x:f>IF($A22="","",Employees!I20*J22)</x:f>
        <x:v>0</x:v>
      </x:c>
      <x:c r="M22" s="40" t="n">
        <x:f>IF($A22="","",K22+L22)</x:f>
        <x:v>0</x:v>
      </x:c>
      <x:c r="N22" s="47"/>
      <x:c r="O22" s="40" t="n">
        <x:f>IF($A22="","",M22-N22)</x:f>
        <x:v>0</x:v>
      </x:c>
    </x:row>
    <x:row r="23">
      <x:c r="A23" s="42" t="str">
        <x:f>Employees!A21</x:f>
        <x:v>EMP018</x:v>
      </x:c>
      <x:c r="B23" s="42" t="str">
        <x:f>Employees!B21</x:f>
        <x:v>Staff 18</x:v>
      </x:c>
      <x:c r="C23" s="42" t="str">
        <x:f>IF(Employees!D21="","",Employees!D21)</x:f>
      </x:c>
      <x:c r="D23" s="40" t="n">
        <x:f>IF(Employees!G21="","",Employees!G21)</x:f>
        <x:v>20000</x:v>
      </x:c>
      <x:c r="E23" s="39" t="n">
        <x:f>IF($A23="","",I23/Setup!$B$4)</x:f>
        <x:v>0</x:v>
      </x:c>
      <x:c r="F23" s="39" t="n">
        <x:f>IF($A23="","",COUNTIFS(Attendance!$B$4:$B$1999,$A23,Attendance!$K$4:$K$1999,$B$3,Attendance!$D$4:$D$1999,"Present")+0.5*COUNTIFS(Attendance!$B$4:$B$1999,$A23,Attendance!$K$4:$K$1999,$B$3,Attendance!$D$4:$D$1999,"Half Day"))</x:f>
        <x:v>0</x:v>
      </x:c>
      <x:c r="G23" s="39" t="n">
        <x:f>IF($A23="","",COUNTIFS(Attendance!$B$4:$B$1999,$A23,Attendance!$K$4:$K$1999,$B$3,Attendance!$D$4:$D$1999,"Paid Leave"))</x:f>
        <x:v>0</x:v>
      </x:c>
      <x:c r="H23" s="39" t="n">
        <x:f>IF($A23="","",COUNTIFS(Attendance!$B$4:$B$1999,$A23,Attendance!$K$4:$K$1999,$B$3,Attendance!$D$4:$D$1999,"Absent")+COUNTIFS(Attendance!$B$4:$B$1999,$A23,Attendance!$K$4:$K$1999,$B$3,Attendance!$D$4:$D$1999,"Unpaid Leave"))</x:f>
        <x:v>0</x:v>
      </x:c>
      <x:c r="I23" s="39" t="n">
        <x:f>IF($A23="","",SUMIFS(Attendance!$G$4:$G$1999,Attendance!$B$4:$B$1999,$A23,Attendance!$K$4:$K$1999,$B$3)+Setup!$B$4*(COUNTIFS(Attendance!$B$4:$B$1999,$A23,Attendance!$K$4:$K$1999,$B$3,Attendance!$D$4:$D$1999,"Paid Leave")+COUNTIFS(Attendance!$B$4:$B$1999,$A23,Attendance!$K$4:$K$1999,$B$3,Attendance!$D$4:$D$1999,"Holiday")+COUNTIFS(Attendance!$B$4:$B$1999,$A23,Attendance!$K$4:$K$1999,$B$3,Attendance!$D$4:$D$1999,"Weekly Off")))</x:f>
        <x:v>0</x:v>
      </x:c>
      <x:c r="J23" s="39" t="n">
        <x:f>IF($A23="","",SUMIFS(Attendance!$H$4:$H$1999,Attendance!$B$4:$B$1999,$A23,Attendance!$K$4:$K$1999,$B$3))</x:f>
        <x:v>0</x:v>
      </x:c>
      <x:c r="K23" s="40" t="n">
        <x:f>IF($A23="","",Employees!H21*I23)</x:f>
        <x:v>0</x:v>
      </x:c>
      <x:c r="L23" s="40" t="n">
        <x:f>IF($A23="","",Employees!I21*J23)</x:f>
        <x:v>0</x:v>
      </x:c>
      <x:c r="M23" s="40" t="n">
        <x:f>IF($A23="","",K23+L23)</x:f>
        <x:v>0</x:v>
      </x:c>
      <x:c r="N23" s="47"/>
      <x:c r="O23" s="40" t="n">
        <x:f>IF($A23="","",M23-N23)</x:f>
        <x:v>0</x:v>
      </x:c>
    </x:row>
    <x:row r="24">
      <x:c r="A24" s="42" t="str">
        <x:f>Employees!A22</x:f>
        <x:v>EMP019</x:v>
      </x:c>
      <x:c r="B24" s="42" t="str">
        <x:f>Employees!B22</x:f>
        <x:v>Staff 19</x:v>
      </x:c>
      <x:c r="C24" s="42" t="str">
        <x:f>IF(Employees!D22="","",Employees!D22)</x:f>
      </x:c>
      <x:c r="D24" s="40" t="n">
        <x:f>IF(Employees!G22="","",Employees!G22)</x:f>
        <x:v>20000</x:v>
      </x:c>
      <x:c r="E24" s="39" t="n">
        <x:f>IF($A24="","",I24/Setup!$B$4)</x:f>
        <x:v>0</x:v>
      </x:c>
      <x:c r="F24" s="39" t="n">
        <x:f>IF($A24="","",COUNTIFS(Attendance!$B$4:$B$1999,$A24,Attendance!$K$4:$K$1999,$B$3,Attendance!$D$4:$D$1999,"Present")+0.5*COUNTIFS(Attendance!$B$4:$B$1999,$A24,Attendance!$K$4:$K$1999,$B$3,Attendance!$D$4:$D$1999,"Half Day"))</x:f>
        <x:v>0</x:v>
      </x:c>
      <x:c r="G24" s="39" t="n">
        <x:f>IF($A24="","",COUNTIFS(Attendance!$B$4:$B$1999,$A24,Attendance!$K$4:$K$1999,$B$3,Attendance!$D$4:$D$1999,"Paid Leave"))</x:f>
        <x:v>0</x:v>
      </x:c>
      <x:c r="H24" s="39" t="n">
        <x:f>IF($A24="","",COUNTIFS(Attendance!$B$4:$B$1999,$A24,Attendance!$K$4:$K$1999,$B$3,Attendance!$D$4:$D$1999,"Absent")+COUNTIFS(Attendance!$B$4:$B$1999,$A24,Attendance!$K$4:$K$1999,$B$3,Attendance!$D$4:$D$1999,"Unpaid Leave"))</x:f>
        <x:v>0</x:v>
      </x:c>
      <x:c r="I24" s="39" t="n">
        <x:f>IF($A24="","",SUMIFS(Attendance!$G$4:$G$1999,Attendance!$B$4:$B$1999,$A24,Attendance!$K$4:$K$1999,$B$3)+Setup!$B$4*(COUNTIFS(Attendance!$B$4:$B$1999,$A24,Attendance!$K$4:$K$1999,$B$3,Attendance!$D$4:$D$1999,"Paid Leave")+COUNTIFS(Attendance!$B$4:$B$1999,$A24,Attendance!$K$4:$K$1999,$B$3,Attendance!$D$4:$D$1999,"Holiday")+COUNTIFS(Attendance!$B$4:$B$1999,$A24,Attendance!$K$4:$K$1999,$B$3,Attendance!$D$4:$D$1999,"Weekly Off")))</x:f>
        <x:v>0</x:v>
      </x:c>
      <x:c r="J24" s="39" t="n">
        <x:f>IF($A24="","",SUMIFS(Attendance!$H$4:$H$1999,Attendance!$B$4:$B$1999,$A24,Attendance!$K$4:$K$1999,$B$3))</x:f>
        <x:v>0</x:v>
      </x:c>
      <x:c r="K24" s="40" t="n">
        <x:f>IF($A24="","",Employees!H22*I24)</x:f>
        <x:v>0</x:v>
      </x:c>
      <x:c r="L24" s="40" t="n">
        <x:f>IF($A24="","",Employees!I22*J24)</x:f>
        <x:v>0</x:v>
      </x:c>
      <x:c r="M24" s="40" t="n">
        <x:f>IF($A24="","",K24+L24)</x:f>
        <x:v>0</x:v>
      </x:c>
      <x:c r="N24" s="47"/>
      <x:c r="O24" s="40" t="n">
        <x:f>IF($A24="","",M24-N24)</x:f>
        <x:v>0</x:v>
      </x:c>
    </x:row>
    <x:row r="25">
      <x:c r="A25" s="42" t="str">
        <x:f>Employees!A23</x:f>
        <x:v>EMP020</x:v>
      </x:c>
      <x:c r="B25" s="42" t="str">
        <x:f>Employees!B23</x:f>
        <x:v>Staff 20</x:v>
      </x:c>
      <x:c r="C25" s="42" t="str">
        <x:f>IF(Employees!D23="","",Employees!D23)</x:f>
      </x:c>
      <x:c r="D25" s="40" t="n">
        <x:f>IF(Employees!G23="","",Employees!G23)</x:f>
        <x:v>20000</x:v>
      </x:c>
      <x:c r="E25" s="39" t="n">
        <x:f>IF($A25="","",I25/Setup!$B$4)</x:f>
        <x:v>0</x:v>
      </x:c>
      <x:c r="F25" s="39" t="n">
        <x:f>IF($A25="","",COUNTIFS(Attendance!$B$4:$B$1999,$A25,Attendance!$K$4:$K$1999,$B$3,Attendance!$D$4:$D$1999,"Present")+0.5*COUNTIFS(Attendance!$B$4:$B$1999,$A25,Attendance!$K$4:$K$1999,$B$3,Attendance!$D$4:$D$1999,"Half Day"))</x:f>
        <x:v>0</x:v>
      </x:c>
      <x:c r="G25" s="39" t="n">
        <x:f>IF($A25="","",COUNTIFS(Attendance!$B$4:$B$1999,$A25,Attendance!$K$4:$K$1999,$B$3,Attendance!$D$4:$D$1999,"Paid Leave"))</x:f>
        <x:v>0</x:v>
      </x:c>
      <x:c r="H25" s="39" t="n">
        <x:f>IF($A25="","",COUNTIFS(Attendance!$B$4:$B$1999,$A25,Attendance!$K$4:$K$1999,$B$3,Attendance!$D$4:$D$1999,"Absent")+COUNTIFS(Attendance!$B$4:$B$1999,$A25,Attendance!$K$4:$K$1999,$B$3,Attendance!$D$4:$D$1999,"Unpaid Leave"))</x:f>
        <x:v>0</x:v>
      </x:c>
      <x:c r="I25" s="39" t="n">
        <x:f>IF($A25="","",SUMIFS(Attendance!$G$4:$G$1999,Attendance!$B$4:$B$1999,$A25,Attendance!$K$4:$K$1999,$B$3)+Setup!$B$4*(COUNTIFS(Attendance!$B$4:$B$1999,$A25,Attendance!$K$4:$K$1999,$B$3,Attendance!$D$4:$D$1999,"Paid Leave")+COUNTIFS(Attendance!$B$4:$B$1999,$A25,Attendance!$K$4:$K$1999,$B$3,Attendance!$D$4:$D$1999,"Holiday")+COUNTIFS(Attendance!$B$4:$B$1999,$A25,Attendance!$K$4:$K$1999,$B$3,Attendance!$D$4:$D$1999,"Weekly Off")))</x:f>
        <x:v>0</x:v>
      </x:c>
      <x:c r="J25" s="39" t="n">
        <x:f>IF($A25="","",SUMIFS(Attendance!$H$4:$H$1999,Attendance!$B$4:$B$1999,$A25,Attendance!$K$4:$K$1999,$B$3))</x:f>
        <x:v>0</x:v>
      </x:c>
      <x:c r="K25" s="40" t="n">
        <x:f>IF($A25="","",Employees!H23*I25)</x:f>
        <x:v>0</x:v>
      </x:c>
      <x:c r="L25" s="40" t="n">
        <x:f>IF($A25="","",Employees!I23*J25)</x:f>
        <x:v>0</x:v>
      </x:c>
      <x:c r="M25" s="40" t="n">
        <x:f>IF($A25="","",K25+L25)</x:f>
        <x:v>0</x:v>
      </x:c>
      <x:c r="N25" s="47"/>
      <x:c r="O25" s="40" t="n">
        <x:f>IF($A25="","",M25-N25)</x:f>
        <x:v>0</x:v>
      </x:c>
    </x:row>
    <x:row r="26">
      <x:c r="A26" s="42" t="str">
        <x:f>Employees!A24</x:f>
        <x:v>EMP021</x:v>
      </x:c>
      <x:c r="B26" s="42" t="str">
        <x:f>Employees!B24</x:f>
        <x:v>Staff 21</x:v>
      </x:c>
      <x:c r="C26" s="42" t="str">
        <x:f>IF(Employees!D24="","",Employees!D24)</x:f>
      </x:c>
      <x:c r="D26" s="40" t="n">
        <x:f>IF(Employees!G24="","",Employees!G24)</x:f>
        <x:v>20000</x:v>
      </x:c>
      <x:c r="E26" s="39" t="n">
        <x:f>IF($A26="","",I26/Setup!$B$4)</x:f>
        <x:v>0</x:v>
      </x:c>
      <x:c r="F26" s="39" t="n">
        <x:f>IF($A26="","",COUNTIFS(Attendance!$B$4:$B$1999,$A26,Attendance!$K$4:$K$1999,$B$3,Attendance!$D$4:$D$1999,"Present")+0.5*COUNTIFS(Attendance!$B$4:$B$1999,$A26,Attendance!$K$4:$K$1999,$B$3,Attendance!$D$4:$D$1999,"Half Day"))</x:f>
        <x:v>0</x:v>
      </x:c>
      <x:c r="G26" s="39" t="n">
        <x:f>IF($A26="","",COUNTIFS(Attendance!$B$4:$B$1999,$A26,Attendance!$K$4:$K$1999,$B$3,Attendance!$D$4:$D$1999,"Paid Leave"))</x:f>
        <x:v>0</x:v>
      </x:c>
      <x:c r="H26" s="39" t="n">
        <x:f>IF($A26="","",COUNTIFS(Attendance!$B$4:$B$1999,$A26,Attendance!$K$4:$K$1999,$B$3,Attendance!$D$4:$D$1999,"Absent")+COUNTIFS(Attendance!$B$4:$B$1999,$A26,Attendance!$K$4:$K$1999,$B$3,Attendance!$D$4:$D$1999,"Unpaid Leave"))</x:f>
        <x:v>0</x:v>
      </x:c>
      <x:c r="I26" s="39" t="n">
        <x:f>IF($A26="","",SUMIFS(Attendance!$G$4:$G$1999,Attendance!$B$4:$B$1999,$A26,Attendance!$K$4:$K$1999,$B$3)+Setup!$B$4*(COUNTIFS(Attendance!$B$4:$B$1999,$A26,Attendance!$K$4:$K$1999,$B$3,Attendance!$D$4:$D$1999,"Paid Leave")+COUNTIFS(Attendance!$B$4:$B$1999,$A26,Attendance!$K$4:$K$1999,$B$3,Attendance!$D$4:$D$1999,"Holiday")+COUNTIFS(Attendance!$B$4:$B$1999,$A26,Attendance!$K$4:$K$1999,$B$3,Attendance!$D$4:$D$1999,"Weekly Off")))</x:f>
        <x:v>0</x:v>
      </x:c>
      <x:c r="J26" s="39" t="n">
        <x:f>IF($A26="","",SUMIFS(Attendance!$H$4:$H$1999,Attendance!$B$4:$B$1999,$A26,Attendance!$K$4:$K$1999,$B$3))</x:f>
        <x:v>0</x:v>
      </x:c>
      <x:c r="K26" s="40" t="n">
        <x:f>IF($A26="","",Employees!H24*I26)</x:f>
        <x:v>0</x:v>
      </x:c>
      <x:c r="L26" s="40" t="n">
        <x:f>IF($A26="","",Employees!I24*J26)</x:f>
        <x:v>0</x:v>
      </x:c>
      <x:c r="M26" s="40" t="n">
        <x:f>IF($A26="","",K26+L26)</x:f>
        <x:v>0</x:v>
      </x:c>
      <x:c r="N26" s="47"/>
      <x:c r="O26" s="40" t="n">
        <x:f>IF($A26="","",M26-N26)</x:f>
        <x:v>0</x:v>
      </x:c>
    </x:row>
    <x:row r="27">
      <x:c r="A27" s="42" t="str">
        <x:f>Employees!A25</x:f>
        <x:v>EMP022</x:v>
      </x:c>
      <x:c r="B27" s="42" t="str">
        <x:f>Employees!B25</x:f>
        <x:v>Staff 22</x:v>
      </x:c>
      <x:c r="C27" s="42" t="str">
        <x:f>IF(Employees!D25="","",Employees!D25)</x:f>
      </x:c>
      <x:c r="D27" s="40" t="n">
        <x:f>IF(Employees!G25="","",Employees!G25)</x:f>
        <x:v>20000</x:v>
      </x:c>
      <x:c r="E27" s="39" t="n">
        <x:f>IF($A27="","",I27/Setup!$B$4)</x:f>
        <x:v>0</x:v>
      </x:c>
      <x:c r="F27" s="39" t="n">
        <x:f>IF($A27="","",COUNTIFS(Attendance!$B$4:$B$1999,$A27,Attendance!$K$4:$K$1999,$B$3,Attendance!$D$4:$D$1999,"Present")+0.5*COUNTIFS(Attendance!$B$4:$B$1999,$A27,Attendance!$K$4:$K$1999,$B$3,Attendance!$D$4:$D$1999,"Half Day"))</x:f>
        <x:v>0</x:v>
      </x:c>
      <x:c r="G27" s="39" t="n">
        <x:f>IF($A27="","",COUNTIFS(Attendance!$B$4:$B$1999,$A27,Attendance!$K$4:$K$1999,$B$3,Attendance!$D$4:$D$1999,"Paid Leave"))</x:f>
        <x:v>0</x:v>
      </x:c>
      <x:c r="H27" s="39" t="n">
        <x:f>IF($A27="","",COUNTIFS(Attendance!$B$4:$B$1999,$A27,Attendance!$K$4:$K$1999,$B$3,Attendance!$D$4:$D$1999,"Absent")+COUNTIFS(Attendance!$B$4:$B$1999,$A27,Attendance!$K$4:$K$1999,$B$3,Attendance!$D$4:$D$1999,"Unpaid Leave"))</x:f>
        <x:v>0</x:v>
      </x:c>
      <x:c r="I27" s="39" t="n">
        <x:f>IF($A27="","",SUMIFS(Attendance!$G$4:$G$1999,Attendance!$B$4:$B$1999,$A27,Attendance!$K$4:$K$1999,$B$3)+Setup!$B$4*(COUNTIFS(Attendance!$B$4:$B$1999,$A27,Attendance!$K$4:$K$1999,$B$3,Attendance!$D$4:$D$1999,"Paid Leave")+COUNTIFS(Attendance!$B$4:$B$1999,$A27,Attendance!$K$4:$K$1999,$B$3,Attendance!$D$4:$D$1999,"Holiday")+COUNTIFS(Attendance!$B$4:$B$1999,$A27,Attendance!$K$4:$K$1999,$B$3,Attendance!$D$4:$D$1999,"Weekly Off")))</x:f>
        <x:v>0</x:v>
      </x:c>
      <x:c r="J27" s="39" t="n">
        <x:f>IF($A27="","",SUMIFS(Attendance!$H$4:$H$1999,Attendance!$B$4:$B$1999,$A27,Attendance!$K$4:$K$1999,$B$3))</x:f>
        <x:v>0</x:v>
      </x:c>
      <x:c r="K27" s="40" t="n">
        <x:f>IF($A27="","",Employees!H25*I27)</x:f>
        <x:v>0</x:v>
      </x:c>
      <x:c r="L27" s="40" t="n">
        <x:f>IF($A27="","",Employees!I25*J27)</x:f>
        <x:v>0</x:v>
      </x:c>
      <x:c r="M27" s="40" t="n">
        <x:f>IF($A27="","",K27+L27)</x:f>
        <x:v>0</x:v>
      </x:c>
      <x:c r="N27" s="47"/>
      <x:c r="O27" s="40" t="n">
        <x:f>IF($A27="","",M27-N27)</x:f>
        <x:v>0</x:v>
      </x:c>
    </x:row>
    <x:row r="28">
      <x:c r="A28" s="42" t="str">
        <x:f>Employees!A26</x:f>
        <x:v>EMP023</x:v>
      </x:c>
      <x:c r="B28" s="42" t="str">
        <x:f>Employees!B26</x:f>
        <x:v>Staff 23</x:v>
      </x:c>
      <x:c r="C28" s="42" t="str">
        <x:f>IF(Employees!D26="","",Employees!D26)</x:f>
      </x:c>
      <x:c r="D28" s="40" t="n">
        <x:f>IF(Employees!G26="","",Employees!G26)</x:f>
        <x:v>20000</x:v>
      </x:c>
      <x:c r="E28" s="39" t="n">
        <x:f>IF($A28="","",I28/Setup!$B$4)</x:f>
        <x:v>0</x:v>
      </x:c>
      <x:c r="F28" s="39" t="n">
        <x:f>IF($A28="","",COUNTIFS(Attendance!$B$4:$B$1999,$A28,Attendance!$K$4:$K$1999,$B$3,Attendance!$D$4:$D$1999,"Present")+0.5*COUNTIFS(Attendance!$B$4:$B$1999,$A28,Attendance!$K$4:$K$1999,$B$3,Attendance!$D$4:$D$1999,"Half Day"))</x:f>
        <x:v>0</x:v>
      </x:c>
      <x:c r="G28" s="39" t="n">
        <x:f>IF($A28="","",COUNTIFS(Attendance!$B$4:$B$1999,$A28,Attendance!$K$4:$K$1999,$B$3,Attendance!$D$4:$D$1999,"Paid Leave"))</x:f>
        <x:v>0</x:v>
      </x:c>
      <x:c r="H28" s="39" t="n">
        <x:f>IF($A28="","",COUNTIFS(Attendance!$B$4:$B$1999,$A28,Attendance!$K$4:$K$1999,$B$3,Attendance!$D$4:$D$1999,"Absent")+COUNTIFS(Attendance!$B$4:$B$1999,$A28,Attendance!$K$4:$K$1999,$B$3,Attendance!$D$4:$D$1999,"Unpaid Leave"))</x:f>
        <x:v>0</x:v>
      </x:c>
      <x:c r="I28" s="39" t="n">
        <x:f>IF($A28="","",SUMIFS(Attendance!$G$4:$G$1999,Attendance!$B$4:$B$1999,$A28,Attendance!$K$4:$K$1999,$B$3)+Setup!$B$4*(COUNTIFS(Attendance!$B$4:$B$1999,$A28,Attendance!$K$4:$K$1999,$B$3,Attendance!$D$4:$D$1999,"Paid Leave")+COUNTIFS(Attendance!$B$4:$B$1999,$A28,Attendance!$K$4:$K$1999,$B$3,Attendance!$D$4:$D$1999,"Holiday")+COUNTIFS(Attendance!$B$4:$B$1999,$A28,Attendance!$K$4:$K$1999,$B$3,Attendance!$D$4:$D$1999,"Weekly Off")))</x:f>
        <x:v>0</x:v>
      </x:c>
      <x:c r="J28" s="39" t="n">
        <x:f>IF($A28="","",SUMIFS(Attendance!$H$4:$H$1999,Attendance!$B$4:$B$1999,$A28,Attendance!$K$4:$K$1999,$B$3))</x:f>
        <x:v>0</x:v>
      </x:c>
      <x:c r="K28" s="40" t="n">
        <x:f>IF($A28="","",Employees!H26*I28)</x:f>
        <x:v>0</x:v>
      </x:c>
      <x:c r="L28" s="40" t="n">
        <x:f>IF($A28="","",Employees!I26*J28)</x:f>
        <x:v>0</x:v>
      </x:c>
      <x:c r="M28" s="40" t="n">
        <x:f>IF($A28="","",K28+L28)</x:f>
        <x:v>0</x:v>
      </x:c>
      <x:c r="N28" s="47"/>
      <x:c r="O28" s="40" t="n">
        <x:f>IF($A28="","",M28-N28)</x:f>
        <x:v>0</x:v>
      </x:c>
    </x:row>
    <x:row r="29">
      <x:c r="A29" s="42" t="str">
        <x:f>Employees!A27</x:f>
        <x:v>EMP024</x:v>
      </x:c>
      <x:c r="B29" s="42" t="str">
        <x:f>Employees!B27</x:f>
        <x:v>Staff 24</x:v>
      </x:c>
      <x:c r="C29" s="42" t="str">
        <x:f>IF(Employees!D27="","",Employees!D27)</x:f>
      </x:c>
      <x:c r="D29" s="40" t="n">
        <x:f>IF(Employees!G27="","",Employees!G27)</x:f>
        <x:v>20000</x:v>
      </x:c>
      <x:c r="E29" s="39" t="n">
        <x:f>IF($A29="","",I29/Setup!$B$4)</x:f>
        <x:v>0</x:v>
      </x:c>
      <x:c r="F29" s="39" t="n">
        <x:f>IF($A29="","",COUNTIFS(Attendance!$B$4:$B$1999,$A29,Attendance!$K$4:$K$1999,$B$3,Attendance!$D$4:$D$1999,"Present")+0.5*COUNTIFS(Attendance!$B$4:$B$1999,$A29,Attendance!$K$4:$K$1999,$B$3,Attendance!$D$4:$D$1999,"Half Day"))</x:f>
        <x:v>0</x:v>
      </x:c>
      <x:c r="G29" s="39" t="n">
        <x:f>IF($A29="","",COUNTIFS(Attendance!$B$4:$B$1999,$A29,Attendance!$K$4:$K$1999,$B$3,Attendance!$D$4:$D$1999,"Paid Leave"))</x:f>
        <x:v>0</x:v>
      </x:c>
      <x:c r="H29" s="39" t="n">
        <x:f>IF($A29="","",COUNTIFS(Attendance!$B$4:$B$1999,$A29,Attendance!$K$4:$K$1999,$B$3,Attendance!$D$4:$D$1999,"Absent")+COUNTIFS(Attendance!$B$4:$B$1999,$A29,Attendance!$K$4:$K$1999,$B$3,Attendance!$D$4:$D$1999,"Unpaid Leave"))</x:f>
        <x:v>0</x:v>
      </x:c>
      <x:c r="I29" s="39" t="n">
        <x:f>IF($A29="","",SUMIFS(Attendance!$G$4:$G$1999,Attendance!$B$4:$B$1999,$A29,Attendance!$K$4:$K$1999,$B$3)+Setup!$B$4*(COUNTIFS(Attendance!$B$4:$B$1999,$A29,Attendance!$K$4:$K$1999,$B$3,Attendance!$D$4:$D$1999,"Paid Leave")+COUNTIFS(Attendance!$B$4:$B$1999,$A29,Attendance!$K$4:$K$1999,$B$3,Attendance!$D$4:$D$1999,"Holiday")+COUNTIFS(Attendance!$B$4:$B$1999,$A29,Attendance!$K$4:$K$1999,$B$3,Attendance!$D$4:$D$1999,"Weekly Off")))</x:f>
        <x:v>0</x:v>
      </x:c>
      <x:c r="J29" s="39" t="n">
        <x:f>IF($A29="","",SUMIFS(Attendance!$H$4:$H$1999,Attendance!$B$4:$B$1999,$A29,Attendance!$K$4:$K$1999,$B$3))</x:f>
        <x:v>0</x:v>
      </x:c>
      <x:c r="K29" s="40" t="n">
        <x:f>IF($A29="","",Employees!H27*I29)</x:f>
        <x:v>0</x:v>
      </x:c>
      <x:c r="L29" s="40" t="n">
        <x:f>IF($A29="","",Employees!I27*J29)</x:f>
        <x:v>0</x:v>
      </x:c>
      <x:c r="M29" s="40" t="n">
        <x:f>IF($A29="","",K29+L29)</x:f>
        <x:v>0</x:v>
      </x:c>
      <x:c r="N29" s="47"/>
      <x:c r="O29" s="40" t="n">
        <x:f>IF($A29="","",M29-N29)</x:f>
        <x:v>0</x:v>
      </x:c>
    </x:row>
    <x:row r="30">
      <x:c r="A30" s="42" t="str">
        <x:f>Employees!A28</x:f>
        <x:v>EMP025</x:v>
      </x:c>
      <x:c r="B30" s="42" t="str">
        <x:f>Employees!B28</x:f>
        <x:v>Staff 25</x:v>
      </x:c>
      <x:c r="C30" s="42" t="str">
        <x:f>IF(Employees!D28="","",Employees!D28)</x:f>
      </x:c>
      <x:c r="D30" s="40" t="n">
        <x:f>IF(Employees!G28="","",Employees!G28)</x:f>
        <x:v>20000</x:v>
      </x:c>
      <x:c r="E30" s="39" t="n">
        <x:f>IF($A30="","",I30/Setup!$B$4)</x:f>
        <x:v>0</x:v>
      </x:c>
      <x:c r="F30" s="39" t="n">
        <x:f>IF($A30="","",COUNTIFS(Attendance!$B$4:$B$1999,$A30,Attendance!$K$4:$K$1999,$B$3,Attendance!$D$4:$D$1999,"Present")+0.5*COUNTIFS(Attendance!$B$4:$B$1999,$A30,Attendance!$K$4:$K$1999,$B$3,Attendance!$D$4:$D$1999,"Half Day"))</x:f>
        <x:v>0</x:v>
      </x:c>
      <x:c r="G30" s="39" t="n">
        <x:f>IF($A30="","",COUNTIFS(Attendance!$B$4:$B$1999,$A30,Attendance!$K$4:$K$1999,$B$3,Attendance!$D$4:$D$1999,"Paid Leave"))</x:f>
        <x:v>0</x:v>
      </x:c>
      <x:c r="H30" s="39" t="n">
        <x:f>IF($A30="","",COUNTIFS(Attendance!$B$4:$B$1999,$A30,Attendance!$K$4:$K$1999,$B$3,Attendance!$D$4:$D$1999,"Absent")+COUNTIFS(Attendance!$B$4:$B$1999,$A30,Attendance!$K$4:$K$1999,$B$3,Attendance!$D$4:$D$1999,"Unpaid Leave"))</x:f>
        <x:v>0</x:v>
      </x:c>
      <x:c r="I30" s="39" t="n">
        <x:f>IF($A30="","",SUMIFS(Attendance!$G$4:$G$1999,Attendance!$B$4:$B$1999,$A30,Attendance!$K$4:$K$1999,$B$3)+Setup!$B$4*(COUNTIFS(Attendance!$B$4:$B$1999,$A30,Attendance!$K$4:$K$1999,$B$3,Attendance!$D$4:$D$1999,"Paid Leave")+COUNTIFS(Attendance!$B$4:$B$1999,$A30,Attendance!$K$4:$K$1999,$B$3,Attendance!$D$4:$D$1999,"Holiday")+COUNTIFS(Attendance!$B$4:$B$1999,$A30,Attendance!$K$4:$K$1999,$B$3,Attendance!$D$4:$D$1999,"Weekly Off")))</x:f>
        <x:v>0</x:v>
      </x:c>
      <x:c r="J30" s="39" t="n">
        <x:f>IF($A30="","",SUMIFS(Attendance!$H$4:$H$1999,Attendance!$B$4:$B$1999,$A30,Attendance!$K$4:$K$1999,$B$3))</x:f>
        <x:v>0</x:v>
      </x:c>
      <x:c r="K30" s="40" t="n">
        <x:f>IF($A30="","",Employees!H28*I30)</x:f>
        <x:v>0</x:v>
      </x:c>
      <x:c r="L30" s="40" t="n">
        <x:f>IF($A30="","",Employees!I28*J30)</x:f>
        <x:v>0</x:v>
      </x:c>
      <x:c r="M30" s="40" t="n">
        <x:f>IF($A30="","",K30+L30)</x:f>
        <x:v>0</x:v>
      </x:c>
      <x:c r="N30" s="47"/>
      <x:c r="O30" s="40" t="n">
        <x:f>IF($A30="","",M30-N30)</x:f>
        <x:v>0</x:v>
      </x:c>
    </x:row>
    <x:row r="31">
      <x:c r="A31" s="42" t="str">
        <x:f>Employees!A29</x:f>
        <x:v>EMP026</x:v>
      </x:c>
      <x:c r="B31" s="42" t="n">
        <x:f>Employees!B29</x:f>
        <x:v>0</x:v>
      </x:c>
      <x:c r="C31" s="42" t="str">
        <x:f>IF(Employees!D29="","",Employees!D29)</x:f>
      </x:c>
      <x:c r="D31" s="40" t="str">
        <x:f>IF(Employees!G29="","",Employees!G29)</x:f>
      </x:c>
      <x:c r="E31" s="39" t="n">
        <x:f>IF($A31="","",I31/Setup!$B$4)</x:f>
        <x:v>0</x:v>
      </x:c>
      <x:c r="F31" s="39" t="n">
        <x:f>IF($A31="","",COUNTIFS(Attendance!$B$4:$B$1999,$A31,Attendance!$K$4:$K$1999,$B$3,Attendance!$D$4:$D$1999,"Present")+0.5*COUNTIFS(Attendance!$B$4:$B$1999,$A31,Attendance!$K$4:$K$1999,$B$3,Attendance!$D$4:$D$1999,"Half Day"))</x:f>
        <x:v>0</x:v>
      </x:c>
      <x:c r="G31" s="39" t="n">
        <x:f>IF($A31="","",COUNTIFS(Attendance!$B$4:$B$1999,$A31,Attendance!$K$4:$K$1999,$B$3,Attendance!$D$4:$D$1999,"Paid Leave"))</x:f>
        <x:v>0</x:v>
      </x:c>
      <x:c r="H31" s="39" t="n">
        <x:f>IF($A31="","",COUNTIFS(Attendance!$B$4:$B$1999,$A31,Attendance!$K$4:$K$1999,$B$3,Attendance!$D$4:$D$1999,"Absent")+COUNTIFS(Attendance!$B$4:$B$1999,$A31,Attendance!$K$4:$K$1999,$B$3,Attendance!$D$4:$D$1999,"Unpaid Leave"))</x:f>
        <x:v>0</x:v>
      </x:c>
      <x:c r="I31" s="39" t="n">
        <x:f>IF($A31="","",SUMIFS(Attendance!$G$4:$G$1999,Attendance!$B$4:$B$1999,$A31,Attendance!$K$4:$K$1999,$B$3)+Setup!$B$4*(COUNTIFS(Attendance!$B$4:$B$1999,$A31,Attendance!$K$4:$K$1999,$B$3,Attendance!$D$4:$D$1999,"Paid Leave")+COUNTIFS(Attendance!$B$4:$B$1999,$A31,Attendance!$K$4:$K$1999,$B$3,Attendance!$D$4:$D$1999,"Holiday")+COUNTIFS(Attendance!$B$4:$B$1999,$A31,Attendance!$K$4:$K$1999,$B$3,Attendance!$D$4:$D$1999,"Weekly Off")))</x:f>
        <x:v>0</x:v>
      </x:c>
      <x:c r="J31" s="39" t="n">
        <x:f>IF($A31="","",SUMIFS(Attendance!$H$4:$H$1999,Attendance!$B$4:$B$1999,$A31,Attendance!$K$4:$K$1999,$B$3))</x:f>
        <x:v>0</x:v>
      </x:c>
      <x:c r="K31" s="40" t="n">
        <x:f>IF($A31="","",Employees!H29*I31)</x:f>
        <x:v>0</x:v>
      </x:c>
      <x:c r="L31" s="40" t="n">
        <x:f>IF($A31="","",Employees!I29*J31)</x:f>
        <x:v>0</x:v>
      </x:c>
      <x:c r="M31" s="40" t="n">
        <x:f>IF($A31="","",K31+L31)</x:f>
        <x:v>0</x:v>
      </x:c>
      <x:c r="N31" s="47"/>
      <x:c r="O31" s="40" t="n">
        <x:f>IF($A31="","",M31-N31)</x:f>
        <x:v>0</x:v>
      </x:c>
    </x:row>
    <x:row r="32">
      <x:c r="A32" s="42" t="str">
        <x:f>Employees!A30</x:f>
        <x:v>EMP027</x:v>
      </x:c>
      <x:c r="B32" s="42" t="n">
        <x:f>Employees!B30</x:f>
        <x:v>0</x:v>
      </x:c>
      <x:c r="C32" s="42" t="str">
        <x:f>IF(Employees!D30="","",Employees!D30)</x:f>
      </x:c>
      <x:c r="D32" s="40" t="str">
        <x:f>IF(Employees!G30="","",Employees!G30)</x:f>
      </x:c>
      <x:c r="E32" s="39" t="n">
        <x:f>IF($A32="","",I32/Setup!$B$4)</x:f>
        <x:v>0</x:v>
      </x:c>
      <x:c r="F32" s="39" t="n">
        <x:f>IF($A32="","",COUNTIFS(Attendance!$B$4:$B$1999,$A32,Attendance!$K$4:$K$1999,$B$3,Attendance!$D$4:$D$1999,"Present")+0.5*COUNTIFS(Attendance!$B$4:$B$1999,$A32,Attendance!$K$4:$K$1999,$B$3,Attendance!$D$4:$D$1999,"Half Day"))</x:f>
        <x:v>0</x:v>
      </x:c>
      <x:c r="G32" s="39" t="n">
        <x:f>IF($A32="","",COUNTIFS(Attendance!$B$4:$B$1999,$A32,Attendance!$K$4:$K$1999,$B$3,Attendance!$D$4:$D$1999,"Paid Leave"))</x:f>
        <x:v>0</x:v>
      </x:c>
      <x:c r="H32" s="39" t="n">
        <x:f>IF($A32="","",COUNTIFS(Attendance!$B$4:$B$1999,$A32,Attendance!$K$4:$K$1999,$B$3,Attendance!$D$4:$D$1999,"Absent")+COUNTIFS(Attendance!$B$4:$B$1999,$A32,Attendance!$K$4:$K$1999,$B$3,Attendance!$D$4:$D$1999,"Unpaid Leave"))</x:f>
        <x:v>0</x:v>
      </x:c>
      <x:c r="I32" s="39" t="n">
        <x:f>IF($A32="","",SUMIFS(Attendance!$G$4:$G$1999,Attendance!$B$4:$B$1999,$A32,Attendance!$K$4:$K$1999,$B$3)+Setup!$B$4*(COUNTIFS(Attendance!$B$4:$B$1999,$A32,Attendance!$K$4:$K$1999,$B$3,Attendance!$D$4:$D$1999,"Paid Leave")+COUNTIFS(Attendance!$B$4:$B$1999,$A32,Attendance!$K$4:$K$1999,$B$3,Attendance!$D$4:$D$1999,"Holiday")+COUNTIFS(Attendance!$B$4:$B$1999,$A32,Attendance!$K$4:$K$1999,$B$3,Attendance!$D$4:$D$1999,"Weekly Off")))</x:f>
        <x:v>0</x:v>
      </x:c>
      <x:c r="J32" s="39" t="n">
        <x:f>IF($A32="","",SUMIFS(Attendance!$H$4:$H$1999,Attendance!$B$4:$B$1999,$A32,Attendance!$K$4:$K$1999,$B$3))</x:f>
        <x:v>0</x:v>
      </x:c>
      <x:c r="K32" s="40" t="n">
        <x:f>IF($A32="","",Employees!H30*I32)</x:f>
        <x:v>0</x:v>
      </x:c>
      <x:c r="L32" s="40" t="n">
        <x:f>IF($A32="","",Employees!I30*J32)</x:f>
        <x:v>0</x:v>
      </x:c>
      <x:c r="M32" s="40" t="n">
        <x:f>IF($A32="","",K32+L32)</x:f>
        <x:v>0</x:v>
      </x:c>
      <x:c r="N32" s="47"/>
      <x:c r="O32" s="40" t="n">
        <x:f>IF($A32="","",M32-N32)</x:f>
        <x:v>0</x:v>
      </x:c>
    </x:row>
    <x:row r="33">
      <x:c r="A33" s="42" t="str">
        <x:f>Employees!A31</x:f>
        <x:v>EMP028</x:v>
      </x:c>
      <x:c r="B33" s="42" t="n">
        <x:f>Employees!B31</x:f>
        <x:v>0</x:v>
      </x:c>
      <x:c r="C33" s="42" t="str">
        <x:f>IF(Employees!D31="","",Employees!D31)</x:f>
      </x:c>
      <x:c r="D33" s="40" t="str">
        <x:f>IF(Employees!G31="","",Employees!G31)</x:f>
      </x:c>
      <x:c r="E33" s="39" t="n">
        <x:f>IF($A33="","",I33/Setup!$B$4)</x:f>
        <x:v>0</x:v>
      </x:c>
      <x:c r="F33" s="39" t="n">
        <x:f>IF($A33="","",COUNTIFS(Attendance!$B$4:$B$1999,$A33,Attendance!$K$4:$K$1999,$B$3,Attendance!$D$4:$D$1999,"Present")+0.5*COUNTIFS(Attendance!$B$4:$B$1999,$A33,Attendance!$K$4:$K$1999,$B$3,Attendance!$D$4:$D$1999,"Half Day"))</x:f>
        <x:v>0</x:v>
      </x:c>
      <x:c r="G33" s="39" t="n">
        <x:f>IF($A33="","",COUNTIFS(Attendance!$B$4:$B$1999,$A33,Attendance!$K$4:$K$1999,$B$3,Attendance!$D$4:$D$1999,"Paid Leave"))</x:f>
        <x:v>0</x:v>
      </x:c>
      <x:c r="H33" s="39" t="n">
        <x:f>IF($A33="","",COUNTIFS(Attendance!$B$4:$B$1999,$A33,Attendance!$K$4:$K$1999,$B$3,Attendance!$D$4:$D$1999,"Absent")+COUNTIFS(Attendance!$B$4:$B$1999,$A33,Attendance!$K$4:$K$1999,$B$3,Attendance!$D$4:$D$1999,"Unpaid Leave"))</x:f>
        <x:v>0</x:v>
      </x:c>
      <x:c r="I33" s="39" t="n">
        <x:f>IF($A33="","",SUMIFS(Attendance!$G$4:$G$1999,Attendance!$B$4:$B$1999,$A33,Attendance!$K$4:$K$1999,$B$3)+Setup!$B$4*(COUNTIFS(Attendance!$B$4:$B$1999,$A33,Attendance!$K$4:$K$1999,$B$3,Attendance!$D$4:$D$1999,"Paid Leave")+COUNTIFS(Attendance!$B$4:$B$1999,$A33,Attendance!$K$4:$K$1999,$B$3,Attendance!$D$4:$D$1999,"Holiday")+COUNTIFS(Attendance!$B$4:$B$1999,$A33,Attendance!$K$4:$K$1999,$B$3,Attendance!$D$4:$D$1999,"Weekly Off")))</x:f>
        <x:v>0</x:v>
      </x:c>
      <x:c r="J33" s="39" t="n">
        <x:f>IF($A33="","",SUMIFS(Attendance!$H$4:$H$1999,Attendance!$B$4:$B$1999,$A33,Attendance!$K$4:$K$1999,$B$3))</x:f>
        <x:v>0</x:v>
      </x:c>
      <x:c r="K33" s="40" t="n">
        <x:f>IF($A33="","",Employees!H31*I33)</x:f>
        <x:v>0</x:v>
      </x:c>
      <x:c r="L33" s="40" t="n">
        <x:f>IF($A33="","",Employees!I31*J33)</x:f>
        <x:v>0</x:v>
      </x:c>
      <x:c r="M33" s="40" t="n">
        <x:f>IF($A33="","",K33+L33)</x:f>
        <x:v>0</x:v>
      </x:c>
      <x:c r="N33" s="47"/>
      <x:c r="O33" s="40" t="n">
        <x:f>IF($A33="","",M33-N33)</x:f>
        <x:v>0</x:v>
      </x:c>
    </x:row>
    <x:row r="34">
      <x:c r="A34" s="42" t="str">
        <x:f>Employees!A32</x:f>
        <x:v>EMP029</x:v>
      </x:c>
      <x:c r="B34" s="42" t="n">
        <x:f>Employees!B32</x:f>
        <x:v>0</x:v>
      </x:c>
      <x:c r="C34" s="42" t="str">
        <x:f>IF(Employees!D32="","",Employees!D32)</x:f>
      </x:c>
      <x:c r="D34" s="40" t="str">
        <x:f>IF(Employees!G32="","",Employees!G32)</x:f>
      </x:c>
      <x:c r="E34" s="39" t="n">
        <x:f>IF($A34="","",I34/Setup!$B$4)</x:f>
        <x:v>0</x:v>
      </x:c>
      <x:c r="F34" s="39" t="n">
        <x:f>IF($A34="","",COUNTIFS(Attendance!$B$4:$B$1999,$A34,Attendance!$K$4:$K$1999,$B$3,Attendance!$D$4:$D$1999,"Present")+0.5*COUNTIFS(Attendance!$B$4:$B$1999,$A34,Attendance!$K$4:$K$1999,$B$3,Attendance!$D$4:$D$1999,"Half Day"))</x:f>
        <x:v>0</x:v>
      </x:c>
      <x:c r="G34" s="39" t="n">
        <x:f>IF($A34="","",COUNTIFS(Attendance!$B$4:$B$1999,$A34,Attendance!$K$4:$K$1999,$B$3,Attendance!$D$4:$D$1999,"Paid Leave"))</x:f>
        <x:v>0</x:v>
      </x:c>
      <x:c r="H34" s="39" t="n">
        <x:f>IF($A34="","",COUNTIFS(Attendance!$B$4:$B$1999,$A34,Attendance!$K$4:$K$1999,$B$3,Attendance!$D$4:$D$1999,"Absent")+COUNTIFS(Attendance!$B$4:$B$1999,$A34,Attendance!$K$4:$K$1999,$B$3,Attendance!$D$4:$D$1999,"Unpaid Leave"))</x:f>
        <x:v>0</x:v>
      </x:c>
      <x:c r="I34" s="39" t="n">
        <x:f>IF($A34="","",SUMIFS(Attendance!$G$4:$G$1999,Attendance!$B$4:$B$1999,$A34,Attendance!$K$4:$K$1999,$B$3)+Setup!$B$4*(COUNTIFS(Attendance!$B$4:$B$1999,$A34,Attendance!$K$4:$K$1999,$B$3,Attendance!$D$4:$D$1999,"Paid Leave")+COUNTIFS(Attendance!$B$4:$B$1999,$A34,Attendance!$K$4:$K$1999,$B$3,Attendance!$D$4:$D$1999,"Holiday")+COUNTIFS(Attendance!$B$4:$B$1999,$A34,Attendance!$K$4:$K$1999,$B$3,Attendance!$D$4:$D$1999,"Weekly Off")))</x:f>
        <x:v>0</x:v>
      </x:c>
      <x:c r="J34" s="39" t="n">
        <x:f>IF($A34="","",SUMIFS(Attendance!$H$4:$H$1999,Attendance!$B$4:$B$1999,$A34,Attendance!$K$4:$K$1999,$B$3))</x:f>
        <x:v>0</x:v>
      </x:c>
      <x:c r="K34" s="40" t="n">
        <x:f>IF($A34="","",Employees!H32*I34)</x:f>
        <x:v>0</x:v>
      </x:c>
      <x:c r="L34" s="40" t="n">
        <x:f>IF($A34="","",Employees!I32*J34)</x:f>
        <x:v>0</x:v>
      </x:c>
      <x:c r="M34" s="40" t="n">
        <x:f>IF($A34="","",K34+L34)</x:f>
        <x:v>0</x:v>
      </x:c>
      <x:c r="N34" s="47"/>
      <x:c r="O34" s="40" t="n">
        <x:f>IF($A34="","",M34-N34)</x:f>
        <x:v>0</x:v>
      </x:c>
    </x:row>
    <x:row r="35">
      <x:c r="A35" s="42" t="str">
        <x:f>Employees!A33</x:f>
        <x:v>EMP030</x:v>
      </x:c>
      <x:c r="B35" s="42" t="n">
        <x:f>Employees!B33</x:f>
        <x:v>0</x:v>
      </x:c>
      <x:c r="C35" s="42" t="str">
        <x:f>IF(Employees!D33="","",Employees!D33)</x:f>
      </x:c>
      <x:c r="D35" s="40" t="str">
        <x:f>IF(Employees!G33="","",Employees!G33)</x:f>
      </x:c>
      <x:c r="E35" s="39" t="n">
        <x:f>IF($A35="","",I35/Setup!$B$4)</x:f>
        <x:v>0</x:v>
      </x:c>
      <x:c r="F35" s="39" t="n">
        <x:f>IF($A35="","",COUNTIFS(Attendance!$B$4:$B$1999,$A35,Attendance!$K$4:$K$1999,$B$3,Attendance!$D$4:$D$1999,"Present")+0.5*COUNTIFS(Attendance!$B$4:$B$1999,$A35,Attendance!$K$4:$K$1999,$B$3,Attendance!$D$4:$D$1999,"Half Day"))</x:f>
        <x:v>0</x:v>
      </x:c>
      <x:c r="G35" s="39" t="n">
        <x:f>IF($A35="","",COUNTIFS(Attendance!$B$4:$B$1999,$A35,Attendance!$K$4:$K$1999,$B$3,Attendance!$D$4:$D$1999,"Paid Leave"))</x:f>
        <x:v>0</x:v>
      </x:c>
      <x:c r="H35" s="39" t="n">
        <x:f>IF($A35="","",COUNTIFS(Attendance!$B$4:$B$1999,$A35,Attendance!$K$4:$K$1999,$B$3,Attendance!$D$4:$D$1999,"Absent")+COUNTIFS(Attendance!$B$4:$B$1999,$A35,Attendance!$K$4:$K$1999,$B$3,Attendance!$D$4:$D$1999,"Unpaid Leave"))</x:f>
        <x:v>0</x:v>
      </x:c>
      <x:c r="I35" s="39" t="n">
        <x:f>IF($A35="","",SUMIFS(Attendance!$G$4:$G$1999,Attendance!$B$4:$B$1999,$A35,Attendance!$K$4:$K$1999,$B$3)+Setup!$B$4*(COUNTIFS(Attendance!$B$4:$B$1999,$A35,Attendance!$K$4:$K$1999,$B$3,Attendance!$D$4:$D$1999,"Paid Leave")+COUNTIFS(Attendance!$B$4:$B$1999,$A35,Attendance!$K$4:$K$1999,$B$3,Attendance!$D$4:$D$1999,"Holiday")+COUNTIFS(Attendance!$B$4:$B$1999,$A35,Attendance!$K$4:$K$1999,$B$3,Attendance!$D$4:$D$1999,"Weekly Off")))</x:f>
        <x:v>0</x:v>
      </x:c>
      <x:c r="J35" s="39" t="n">
        <x:f>IF($A35="","",SUMIFS(Attendance!$H$4:$H$1999,Attendance!$B$4:$B$1999,$A35,Attendance!$K$4:$K$1999,$B$3))</x:f>
        <x:v>0</x:v>
      </x:c>
      <x:c r="K35" s="40" t="n">
        <x:f>IF($A35="","",Employees!H33*I35)</x:f>
        <x:v>0</x:v>
      </x:c>
      <x:c r="L35" s="40" t="n">
        <x:f>IF($A35="","",Employees!I33*J35)</x:f>
        <x:v>0</x:v>
      </x:c>
      <x:c r="M35" s="40" t="n">
        <x:f>IF($A35="","",K35+L35)</x:f>
        <x:v>0</x:v>
      </x:c>
      <x:c r="N35" s="47"/>
      <x:c r="O35" s="40" t="n">
        <x:f>IF($A35="","",M35-N35)</x:f>
        <x:v>0</x:v>
      </x:c>
    </x:row>
    <x:row r="36">
      <x:c r="A36" s="42" t="str">
        <x:f>Employees!A34</x:f>
        <x:v>EMP031</x:v>
      </x:c>
      <x:c r="B36" s="42" t="n">
        <x:f>Employees!B34</x:f>
        <x:v>0</x:v>
      </x:c>
      <x:c r="C36" s="42" t="str">
        <x:f>IF(Employees!D34="","",Employees!D34)</x:f>
      </x:c>
      <x:c r="D36" s="40" t="str">
        <x:f>IF(Employees!G34="","",Employees!G34)</x:f>
      </x:c>
      <x:c r="E36" s="39" t="n">
        <x:f>IF($A36="","",I36/Setup!$B$4)</x:f>
        <x:v>0</x:v>
      </x:c>
      <x:c r="F36" s="39" t="n">
        <x:f>IF($A36="","",COUNTIFS(Attendance!$B$4:$B$1999,$A36,Attendance!$K$4:$K$1999,$B$3,Attendance!$D$4:$D$1999,"Present")+0.5*COUNTIFS(Attendance!$B$4:$B$1999,$A36,Attendance!$K$4:$K$1999,$B$3,Attendance!$D$4:$D$1999,"Half Day"))</x:f>
        <x:v>0</x:v>
      </x:c>
      <x:c r="G36" s="39" t="n">
        <x:f>IF($A36="","",COUNTIFS(Attendance!$B$4:$B$1999,$A36,Attendance!$K$4:$K$1999,$B$3,Attendance!$D$4:$D$1999,"Paid Leave"))</x:f>
        <x:v>0</x:v>
      </x:c>
      <x:c r="H36" s="39" t="n">
        <x:f>IF($A36="","",COUNTIFS(Attendance!$B$4:$B$1999,$A36,Attendance!$K$4:$K$1999,$B$3,Attendance!$D$4:$D$1999,"Absent")+COUNTIFS(Attendance!$B$4:$B$1999,$A36,Attendance!$K$4:$K$1999,$B$3,Attendance!$D$4:$D$1999,"Unpaid Leave"))</x:f>
        <x:v>0</x:v>
      </x:c>
      <x:c r="I36" s="39" t="n">
        <x:f>IF($A36="","",SUMIFS(Attendance!$G$4:$G$1999,Attendance!$B$4:$B$1999,$A36,Attendance!$K$4:$K$1999,$B$3)+Setup!$B$4*(COUNTIFS(Attendance!$B$4:$B$1999,$A36,Attendance!$K$4:$K$1999,$B$3,Attendance!$D$4:$D$1999,"Paid Leave")+COUNTIFS(Attendance!$B$4:$B$1999,$A36,Attendance!$K$4:$K$1999,$B$3,Attendance!$D$4:$D$1999,"Holiday")+COUNTIFS(Attendance!$B$4:$B$1999,$A36,Attendance!$K$4:$K$1999,$B$3,Attendance!$D$4:$D$1999,"Weekly Off")))</x:f>
        <x:v>0</x:v>
      </x:c>
      <x:c r="J36" s="39" t="n">
        <x:f>IF($A36="","",SUMIFS(Attendance!$H$4:$H$1999,Attendance!$B$4:$B$1999,$A36,Attendance!$K$4:$K$1999,$B$3))</x:f>
        <x:v>0</x:v>
      </x:c>
      <x:c r="K36" s="40" t="n">
        <x:f>IF($A36="","",Employees!H34*I36)</x:f>
        <x:v>0</x:v>
      </x:c>
      <x:c r="L36" s="40" t="n">
        <x:f>IF($A36="","",Employees!I34*J36)</x:f>
        <x:v>0</x:v>
      </x:c>
      <x:c r="M36" s="40" t="n">
        <x:f>IF($A36="","",K36+L36)</x:f>
        <x:v>0</x:v>
      </x:c>
      <x:c r="N36" s="47"/>
      <x:c r="O36" s="40" t="n">
        <x:f>IF($A36="","",M36-N36)</x:f>
        <x:v>0</x:v>
      </x:c>
    </x:row>
    <x:row r="37">
      <x:c r="A37" s="42" t="str">
        <x:f>Employees!A35</x:f>
        <x:v>EMP032</x:v>
      </x:c>
      <x:c r="B37" s="42" t="n">
        <x:f>Employees!B35</x:f>
        <x:v>0</x:v>
      </x:c>
      <x:c r="C37" s="42" t="str">
        <x:f>IF(Employees!D35="","",Employees!D35)</x:f>
      </x:c>
      <x:c r="D37" s="40" t="str">
        <x:f>IF(Employees!G35="","",Employees!G35)</x:f>
      </x:c>
      <x:c r="E37" s="39" t="n">
        <x:f>IF($A37="","",I37/Setup!$B$4)</x:f>
        <x:v>0</x:v>
      </x:c>
      <x:c r="F37" s="39" t="n">
        <x:f>IF($A37="","",COUNTIFS(Attendance!$B$4:$B$1999,$A37,Attendance!$K$4:$K$1999,$B$3,Attendance!$D$4:$D$1999,"Present")+0.5*COUNTIFS(Attendance!$B$4:$B$1999,$A37,Attendance!$K$4:$K$1999,$B$3,Attendance!$D$4:$D$1999,"Half Day"))</x:f>
        <x:v>0</x:v>
      </x:c>
      <x:c r="G37" s="39" t="n">
        <x:f>IF($A37="","",COUNTIFS(Attendance!$B$4:$B$1999,$A37,Attendance!$K$4:$K$1999,$B$3,Attendance!$D$4:$D$1999,"Paid Leave"))</x:f>
        <x:v>0</x:v>
      </x:c>
      <x:c r="H37" s="39" t="n">
        <x:f>IF($A37="","",COUNTIFS(Attendance!$B$4:$B$1999,$A37,Attendance!$K$4:$K$1999,$B$3,Attendance!$D$4:$D$1999,"Absent")+COUNTIFS(Attendance!$B$4:$B$1999,$A37,Attendance!$K$4:$K$1999,$B$3,Attendance!$D$4:$D$1999,"Unpaid Leave"))</x:f>
        <x:v>0</x:v>
      </x:c>
      <x:c r="I37" s="39" t="n">
        <x:f>IF($A37="","",SUMIFS(Attendance!$G$4:$G$1999,Attendance!$B$4:$B$1999,$A37,Attendance!$K$4:$K$1999,$B$3)+Setup!$B$4*(COUNTIFS(Attendance!$B$4:$B$1999,$A37,Attendance!$K$4:$K$1999,$B$3,Attendance!$D$4:$D$1999,"Paid Leave")+COUNTIFS(Attendance!$B$4:$B$1999,$A37,Attendance!$K$4:$K$1999,$B$3,Attendance!$D$4:$D$1999,"Holiday")+COUNTIFS(Attendance!$B$4:$B$1999,$A37,Attendance!$K$4:$K$1999,$B$3,Attendance!$D$4:$D$1999,"Weekly Off")))</x:f>
        <x:v>0</x:v>
      </x:c>
      <x:c r="J37" s="39" t="n">
        <x:f>IF($A37="","",SUMIFS(Attendance!$H$4:$H$1999,Attendance!$B$4:$B$1999,$A37,Attendance!$K$4:$K$1999,$B$3))</x:f>
        <x:v>0</x:v>
      </x:c>
      <x:c r="K37" s="40" t="n">
        <x:f>IF($A37="","",Employees!H35*I37)</x:f>
        <x:v>0</x:v>
      </x:c>
      <x:c r="L37" s="40" t="n">
        <x:f>IF($A37="","",Employees!I35*J37)</x:f>
        <x:v>0</x:v>
      </x:c>
      <x:c r="M37" s="40" t="n">
        <x:f>IF($A37="","",K37+L37)</x:f>
        <x:v>0</x:v>
      </x:c>
      <x:c r="N37" s="47"/>
      <x:c r="O37" s="40" t="n">
        <x:f>IF($A37="","",M37-N37)</x:f>
        <x:v>0</x:v>
      </x:c>
    </x:row>
    <x:row r="38">
      <x:c r="A38" s="42" t="str">
        <x:f>Employees!A36</x:f>
        <x:v>EMP033</x:v>
      </x:c>
      <x:c r="B38" s="42" t="n">
        <x:f>Employees!B36</x:f>
        <x:v>0</x:v>
      </x:c>
      <x:c r="C38" s="42" t="str">
        <x:f>IF(Employees!D36="","",Employees!D36)</x:f>
      </x:c>
      <x:c r="D38" s="40" t="str">
        <x:f>IF(Employees!G36="","",Employees!G36)</x:f>
      </x:c>
      <x:c r="E38" s="39" t="n">
        <x:f>IF($A38="","",I38/Setup!$B$4)</x:f>
        <x:v>0</x:v>
      </x:c>
      <x:c r="F38" s="39" t="n">
        <x:f>IF($A38="","",COUNTIFS(Attendance!$B$4:$B$1999,$A38,Attendance!$K$4:$K$1999,$B$3,Attendance!$D$4:$D$1999,"Present")+0.5*COUNTIFS(Attendance!$B$4:$B$1999,$A38,Attendance!$K$4:$K$1999,$B$3,Attendance!$D$4:$D$1999,"Half Day"))</x:f>
        <x:v>0</x:v>
      </x:c>
      <x:c r="G38" s="39" t="n">
        <x:f>IF($A38="","",COUNTIFS(Attendance!$B$4:$B$1999,$A38,Attendance!$K$4:$K$1999,$B$3,Attendance!$D$4:$D$1999,"Paid Leave"))</x:f>
        <x:v>0</x:v>
      </x:c>
      <x:c r="H38" s="39" t="n">
        <x:f>IF($A38="","",COUNTIFS(Attendance!$B$4:$B$1999,$A38,Attendance!$K$4:$K$1999,$B$3,Attendance!$D$4:$D$1999,"Absent")+COUNTIFS(Attendance!$B$4:$B$1999,$A38,Attendance!$K$4:$K$1999,$B$3,Attendance!$D$4:$D$1999,"Unpaid Leave"))</x:f>
        <x:v>0</x:v>
      </x:c>
      <x:c r="I38" s="39" t="n">
        <x:f>IF($A38="","",SUMIFS(Attendance!$G$4:$G$1999,Attendance!$B$4:$B$1999,$A38,Attendance!$K$4:$K$1999,$B$3)+Setup!$B$4*(COUNTIFS(Attendance!$B$4:$B$1999,$A38,Attendance!$K$4:$K$1999,$B$3,Attendance!$D$4:$D$1999,"Paid Leave")+COUNTIFS(Attendance!$B$4:$B$1999,$A38,Attendance!$K$4:$K$1999,$B$3,Attendance!$D$4:$D$1999,"Holiday")+COUNTIFS(Attendance!$B$4:$B$1999,$A38,Attendance!$K$4:$K$1999,$B$3,Attendance!$D$4:$D$1999,"Weekly Off")))</x:f>
        <x:v>0</x:v>
      </x:c>
      <x:c r="J38" s="39" t="n">
        <x:f>IF($A38="","",SUMIFS(Attendance!$H$4:$H$1999,Attendance!$B$4:$B$1999,$A38,Attendance!$K$4:$K$1999,$B$3))</x:f>
        <x:v>0</x:v>
      </x:c>
      <x:c r="K38" s="40" t="n">
        <x:f>IF($A38="","",Employees!H36*I38)</x:f>
        <x:v>0</x:v>
      </x:c>
      <x:c r="L38" s="40" t="n">
        <x:f>IF($A38="","",Employees!I36*J38)</x:f>
        <x:v>0</x:v>
      </x:c>
      <x:c r="M38" s="40" t="n">
        <x:f>IF($A38="","",K38+L38)</x:f>
        <x:v>0</x:v>
      </x:c>
      <x:c r="N38" s="47"/>
      <x:c r="O38" s="40" t="n">
        <x:f>IF($A38="","",M38-N38)</x:f>
        <x:v>0</x:v>
      </x:c>
    </x:row>
    <x:row r="39">
      <x:c r="A39" s="42" t="str">
        <x:f>Employees!A37</x:f>
        <x:v>EMP034</x:v>
      </x:c>
      <x:c r="B39" s="42" t="n">
        <x:f>Employees!B37</x:f>
        <x:v>0</x:v>
      </x:c>
      <x:c r="C39" s="42" t="str">
        <x:f>IF(Employees!D37="","",Employees!D37)</x:f>
      </x:c>
      <x:c r="D39" s="40" t="str">
        <x:f>IF(Employees!G37="","",Employees!G37)</x:f>
      </x:c>
      <x:c r="E39" s="39" t="n">
        <x:f>IF($A39="","",I39/Setup!$B$4)</x:f>
        <x:v>0</x:v>
      </x:c>
      <x:c r="F39" s="39" t="n">
        <x:f>IF($A39="","",COUNTIFS(Attendance!$B$4:$B$1999,$A39,Attendance!$K$4:$K$1999,$B$3,Attendance!$D$4:$D$1999,"Present")+0.5*COUNTIFS(Attendance!$B$4:$B$1999,$A39,Attendance!$K$4:$K$1999,$B$3,Attendance!$D$4:$D$1999,"Half Day"))</x:f>
        <x:v>0</x:v>
      </x:c>
      <x:c r="G39" s="39" t="n">
        <x:f>IF($A39="","",COUNTIFS(Attendance!$B$4:$B$1999,$A39,Attendance!$K$4:$K$1999,$B$3,Attendance!$D$4:$D$1999,"Paid Leave"))</x:f>
        <x:v>0</x:v>
      </x:c>
      <x:c r="H39" s="39" t="n">
        <x:f>IF($A39="","",COUNTIFS(Attendance!$B$4:$B$1999,$A39,Attendance!$K$4:$K$1999,$B$3,Attendance!$D$4:$D$1999,"Absent")+COUNTIFS(Attendance!$B$4:$B$1999,$A39,Attendance!$K$4:$K$1999,$B$3,Attendance!$D$4:$D$1999,"Unpaid Leave"))</x:f>
        <x:v>0</x:v>
      </x:c>
      <x:c r="I39" s="39" t="n">
        <x:f>IF($A39="","",SUMIFS(Attendance!$G$4:$G$1999,Attendance!$B$4:$B$1999,$A39,Attendance!$K$4:$K$1999,$B$3)+Setup!$B$4*(COUNTIFS(Attendance!$B$4:$B$1999,$A39,Attendance!$K$4:$K$1999,$B$3,Attendance!$D$4:$D$1999,"Paid Leave")+COUNTIFS(Attendance!$B$4:$B$1999,$A39,Attendance!$K$4:$K$1999,$B$3,Attendance!$D$4:$D$1999,"Holiday")+COUNTIFS(Attendance!$B$4:$B$1999,$A39,Attendance!$K$4:$K$1999,$B$3,Attendance!$D$4:$D$1999,"Weekly Off")))</x:f>
        <x:v>0</x:v>
      </x:c>
      <x:c r="J39" s="39" t="n">
        <x:f>IF($A39="","",SUMIFS(Attendance!$H$4:$H$1999,Attendance!$B$4:$B$1999,$A39,Attendance!$K$4:$K$1999,$B$3))</x:f>
        <x:v>0</x:v>
      </x:c>
      <x:c r="K39" s="40" t="n">
        <x:f>IF($A39="","",Employees!H37*I39)</x:f>
        <x:v>0</x:v>
      </x:c>
      <x:c r="L39" s="40" t="n">
        <x:f>IF($A39="","",Employees!I37*J39)</x:f>
        <x:v>0</x:v>
      </x:c>
      <x:c r="M39" s="40" t="n">
        <x:f>IF($A39="","",K39+L39)</x:f>
        <x:v>0</x:v>
      </x:c>
      <x:c r="N39" s="47"/>
      <x:c r="O39" s="40" t="n">
        <x:f>IF($A39="","",M39-N39)</x:f>
        <x:v>0</x:v>
      </x:c>
    </x:row>
    <x:row r="40">
      <x:c r="A40" s="42" t="str">
        <x:f>Employees!A38</x:f>
        <x:v>EMP035</x:v>
      </x:c>
      <x:c r="B40" s="42" t="n">
        <x:f>Employees!B38</x:f>
        <x:v>0</x:v>
      </x:c>
      <x:c r="C40" s="42" t="str">
        <x:f>IF(Employees!D38="","",Employees!D38)</x:f>
      </x:c>
      <x:c r="D40" s="40" t="str">
        <x:f>IF(Employees!G38="","",Employees!G38)</x:f>
      </x:c>
      <x:c r="E40" s="39" t="n">
        <x:f>IF($A40="","",I40/Setup!$B$4)</x:f>
        <x:v>0</x:v>
      </x:c>
      <x:c r="F40" s="39" t="n">
        <x:f>IF($A40="","",COUNTIFS(Attendance!$B$4:$B$1999,$A40,Attendance!$K$4:$K$1999,$B$3,Attendance!$D$4:$D$1999,"Present")+0.5*COUNTIFS(Attendance!$B$4:$B$1999,$A40,Attendance!$K$4:$K$1999,$B$3,Attendance!$D$4:$D$1999,"Half Day"))</x:f>
        <x:v>0</x:v>
      </x:c>
      <x:c r="G40" s="39" t="n">
        <x:f>IF($A40="","",COUNTIFS(Attendance!$B$4:$B$1999,$A40,Attendance!$K$4:$K$1999,$B$3,Attendance!$D$4:$D$1999,"Paid Leave"))</x:f>
        <x:v>0</x:v>
      </x:c>
      <x:c r="H40" s="39" t="n">
        <x:f>IF($A40="","",COUNTIFS(Attendance!$B$4:$B$1999,$A40,Attendance!$K$4:$K$1999,$B$3,Attendance!$D$4:$D$1999,"Absent")+COUNTIFS(Attendance!$B$4:$B$1999,$A40,Attendance!$K$4:$K$1999,$B$3,Attendance!$D$4:$D$1999,"Unpaid Leave"))</x:f>
        <x:v>0</x:v>
      </x:c>
      <x:c r="I40" s="39" t="n">
        <x:f>IF($A40="","",SUMIFS(Attendance!$G$4:$G$1999,Attendance!$B$4:$B$1999,$A40,Attendance!$K$4:$K$1999,$B$3)+Setup!$B$4*(COUNTIFS(Attendance!$B$4:$B$1999,$A40,Attendance!$K$4:$K$1999,$B$3,Attendance!$D$4:$D$1999,"Paid Leave")+COUNTIFS(Attendance!$B$4:$B$1999,$A40,Attendance!$K$4:$K$1999,$B$3,Attendance!$D$4:$D$1999,"Holiday")+COUNTIFS(Attendance!$B$4:$B$1999,$A40,Attendance!$K$4:$K$1999,$B$3,Attendance!$D$4:$D$1999,"Weekly Off")))</x:f>
        <x:v>0</x:v>
      </x:c>
      <x:c r="J40" s="39" t="n">
        <x:f>IF($A40="","",SUMIFS(Attendance!$H$4:$H$1999,Attendance!$B$4:$B$1999,$A40,Attendance!$K$4:$K$1999,$B$3))</x:f>
        <x:v>0</x:v>
      </x:c>
      <x:c r="K40" s="40" t="n">
        <x:f>IF($A40="","",Employees!H38*I40)</x:f>
        <x:v>0</x:v>
      </x:c>
      <x:c r="L40" s="40" t="n">
        <x:f>IF($A40="","",Employees!I38*J40)</x:f>
        <x:v>0</x:v>
      </x:c>
      <x:c r="M40" s="40" t="n">
        <x:f>IF($A40="","",K40+L40)</x:f>
        <x:v>0</x:v>
      </x:c>
      <x:c r="N40" s="47"/>
      <x:c r="O40" s="40" t="n">
        <x:f>IF($A40="","",M40-N40)</x:f>
        <x:v>0</x:v>
      </x:c>
    </x:row>
    <x:row r="41">
      <x:c r="A41" s="42" t="str">
        <x:f>Employees!A39</x:f>
        <x:v>EMP036</x:v>
      </x:c>
      <x:c r="B41" s="42" t="n">
        <x:f>Employees!B39</x:f>
        <x:v>0</x:v>
      </x:c>
      <x:c r="C41" s="42" t="str">
        <x:f>IF(Employees!D39="","",Employees!D39)</x:f>
      </x:c>
      <x:c r="D41" s="40" t="str">
        <x:f>IF(Employees!G39="","",Employees!G39)</x:f>
      </x:c>
      <x:c r="E41" s="39" t="n">
        <x:f>IF($A41="","",I41/Setup!$B$4)</x:f>
        <x:v>0</x:v>
      </x:c>
      <x:c r="F41" s="39" t="n">
        <x:f>IF($A41="","",COUNTIFS(Attendance!$B$4:$B$1999,$A41,Attendance!$K$4:$K$1999,$B$3,Attendance!$D$4:$D$1999,"Present")+0.5*COUNTIFS(Attendance!$B$4:$B$1999,$A41,Attendance!$K$4:$K$1999,$B$3,Attendance!$D$4:$D$1999,"Half Day"))</x:f>
        <x:v>0</x:v>
      </x:c>
      <x:c r="G41" s="39" t="n">
        <x:f>IF($A41="","",COUNTIFS(Attendance!$B$4:$B$1999,$A41,Attendance!$K$4:$K$1999,$B$3,Attendance!$D$4:$D$1999,"Paid Leave"))</x:f>
        <x:v>0</x:v>
      </x:c>
      <x:c r="H41" s="39" t="n">
        <x:f>IF($A41="","",COUNTIFS(Attendance!$B$4:$B$1999,$A41,Attendance!$K$4:$K$1999,$B$3,Attendance!$D$4:$D$1999,"Absent")+COUNTIFS(Attendance!$B$4:$B$1999,$A41,Attendance!$K$4:$K$1999,$B$3,Attendance!$D$4:$D$1999,"Unpaid Leave"))</x:f>
        <x:v>0</x:v>
      </x:c>
      <x:c r="I41" s="39" t="n">
        <x:f>IF($A41="","",SUMIFS(Attendance!$G$4:$G$1999,Attendance!$B$4:$B$1999,$A41,Attendance!$K$4:$K$1999,$B$3)+Setup!$B$4*(COUNTIFS(Attendance!$B$4:$B$1999,$A41,Attendance!$K$4:$K$1999,$B$3,Attendance!$D$4:$D$1999,"Paid Leave")+COUNTIFS(Attendance!$B$4:$B$1999,$A41,Attendance!$K$4:$K$1999,$B$3,Attendance!$D$4:$D$1999,"Holiday")+COUNTIFS(Attendance!$B$4:$B$1999,$A41,Attendance!$K$4:$K$1999,$B$3,Attendance!$D$4:$D$1999,"Weekly Off")))</x:f>
        <x:v>0</x:v>
      </x:c>
      <x:c r="J41" s="39" t="n">
        <x:f>IF($A41="","",SUMIFS(Attendance!$H$4:$H$1999,Attendance!$B$4:$B$1999,$A41,Attendance!$K$4:$K$1999,$B$3))</x:f>
        <x:v>0</x:v>
      </x:c>
      <x:c r="K41" s="40" t="n">
        <x:f>IF($A41="","",Employees!H39*I41)</x:f>
        <x:v>0</x:v>
      </x:c>
      <x:c r="L41" s="40" t="n">
        <x:f>IF($A41="","",Employees!I39*J41)</x:f>
        <x:v>0</x:v>
      </x:c>
      <x:c r="M41" s="40" t="n">
        <x:f>IF($A41="","",K41+L41)</x:f>
        <x:v>0</x:v>
      </x:c>
      <x:c r="N41" s="47"/>
      <x:c r="O41" s="40" t="n">
        <x:f>IF($A41="","",M41-N41)</x:f>
        <x:v>0</x:v>
      </x:c>
    </x:row>
    <x:row r="42">
      <x:c r="A42" s="42" t="str">
        <x:f>Employees!A40</x:f>
        <x:v>EMP037</x:v>
      </x:c>
      <x:c r="B42" s="42" t="n">
        <x:f>Employees!B40</x:f>
        <x:v>0</x:v>
      </x:c>
      <x:c r="C42" s="42" t="str">
        <x:f>IF(Employees!D40="","",Employees!D40)</x:f>
      </x:c>
      <x:c r="D42" s="40" t="str">
        <x:f>IF(Employees!G40="","",Employees!G40)</x:f>
      </x:c>
      <x:c r="E42" s="39" t="n">
        <x:f>IF($A42="","",I42/Setup!$B$4)</x:f>
        <x:v>0</x:v>
      </x:c>
      <x:c r="F42" s="39" t="n">
        <x:f>IF($A42="","",COUNTIFS(Attendance!$B$4:$B$1999,$A42,Attendance!$K$4:$K$1999,$B$3,Attendance!$D$4:$D$1999,"Present")+0.5*COUNTIFS(Attendance!$B$4:$B$1999,$A42,Attendance!$K$4:$K$1999,$B$3,Attendance!$D$4:$D$1999,"Half Day"))</x:f>
        <x:v>0</x:v>
      </x:c>
      <x:c r="G42" s="39" t="n">
        <x:f>IF($A42="","",COUNTIFS(Attendance!$B$4:$B$1999,$A42,Attendance!$K$4:$K$1999,$B$3,Attendance!$D$4:$D$1999,"Paid Leave"))</x:f>
        <x:v>0</x:v>
      </x:c>
      <x:c r="H42" s="39" t="n">
        <x:f>IF($A42="","",COUNTIFS(Attendance!$B$4:$B$1999,$A42,Attendance!$K$4:$K$1999,$B$3,Attendance!$D$4:$D$1999,"Absent")+COUNTIFS(Attendance!$B$4:$B$1999,$A42,Attendance!$K$4:$K$1999,$B$3,Attendance!$D$4:$D$1999,"Unpaid Leave"))</x:f>
        <x:v>0</x:v>
      </x:c>
      <x:c r="I42" s="39" t="n">
        <x:f>IF($A42="","",SUMIFS(Attendance!$G$4:$G$1999,Attendance!$B$4:$B$1999,$A42,Attendance!$K$4:$K$1999,$B$3)+Setup!$B$4*(COUNTIFS(Attendance!$B$4:$B$1999,$A42,Attendance!$K$4:$K$1999,$B$3,Attendance!$D$4:$D$1999,"Paid Leave")+COUNTIFS(Attendance!$B$4:$B$1999,$A42,Attendance!$K$4:$K$1999,$B$3,Attendance!$D$4:$D$1999,"Holiday")+COUNTIFS(Attendance!$B$4:$B$1999,$A42,Attendance!$K$4:$K$1999,$B$3,Attendance!$D$4:$D$1999,"Weekly Off")))</x:f>
        <x:v>0</x:v>
      </x:c>
      <x:c r="J42" s="39" t="n">
        <x:f>IF($A42="","",SUMIFS(Attendance!$H$4:$H$1999,Attendance!$B$4:$B$1999,$A42,Attendance!$K$4:$K$1999,$B$3))</x:f>
        <x:v>0</x:v>
      </x:c>
      <x:c r="K42" s="40" t="n">
        <x:f>IF($A42="","",Employees!H40*I42)</x:f>
        <x:v>0</x:v>
      </x:c>
      <x:c r="L42" s="40" t="n">
        <x:f>IF($A42="","",Employees!I40*J42)</x:f>
        <x:v>0</x:v>
      </x:c>
      <x:c r="M42" s="40" t="n">
        <x:f>IF($A42="","",K42+L42)</x:f>
        <x:v>0</x:v>
      </x:c>
      <x:c r="N42" s="47"/>
      <x:c r="O42" s="40" t="n">
        <x:f>IF($A42="","",M42-N42)</x:f>
        <x:v>0</x:v>
      </x:c>
    </x:row>
    <x:row r="43">
      <x:c r="A43" s="42" t="str">
        <x:f>Employees!A41</x:f>
        <x:v>EMP038</x:v>
      </x:c>
      <x:c r="B43" s="42" t="n">
        <x:f>Employees!B41</x:f>
        <x:v>0</x:v>
      </x:c>
      <x:c r="C43" s="42" t="str">
        <x:f>IF(Employees!D41="","",Employees!D41)</x:f>
      </x:c>
      <x:c r="D43" s="40" t="str">
        <x:f>IF(Employees!G41="","",Employees!G41)</x:f>
      </x:c>
      <x:c r="E43" s="39" t="n">
        <x:f>IF($A43="","",I43/Setup!$B$4)</x:f>
        <x:v>0</x:v>
      </x:c>
      <x:c r="F43" s="39" t="n">
        <x:f>IF($A43="","",COUNTIFS(Attendance!$B$4:$B$1999,$A43,Attendance!$K$4:$K$1999,$B$3,Attendance!$D$4:$D$1999,"Present")+0.5*COUNTIFS(Attendance!$B$4:$B$1999,$A43,Attendance!$K$4:$K$1999,$B$3,Attendance!$D$4:$D$1999,"Half Day"))</x:f>
        <x:v>0</x:v>
      </x:c>
      <x:c r="G43" s="39" t="n">
        <x:f>IF($A43="","",COUNTIFS(Attendance!$B$4:$B$1999,$A43,Attendance!$K$4:$K$1999,$B$3,Attendance!$D$4:$D$1999,"Paid Leave"))</x:f>
        <x:v>0</x:v>
      </x:c>
      <x:c r="H43" s="39" t="n">
        <x:f>IF($A43="","",COUNTIFS(Attendance!$B$4:$B$1999,$A43,Attendance!$K$4:$K$1999,$B$3,Attendance!$D$4:$D$1999,"Absent")+COUNTIFS(Attendance!$B$4:$B$1999,$A43,Attendance!$K$4:$K$1999,$B$3,Attendance!$D$4:$D$1999,"Unpaid Leave"))</x:f>
        <x:v>0</x:v>
      </x:c>
      <x:c r="I43" s="39" t="n">
        <x:f>IF($A43="","",SUMIFS(Attendance!$G$4:$G$1999,Attendance!$B$4:$B$1999,$A43,Attendance!$K$4:$K$1999,$B$3)+Setup!$B$4*(COUNTIFS(Attendance!$B$4:$B$1999,$A43,Attendance!$K$4:$K$1999,$B$3,Attendance!$D$4:$D$1999,"Paid Leave")+COUNTIFS(Attendance!$B$4:$B$1999,$A43,Attendance!$K$4:$K$1999,$B$3,Attendance!$D$4:$D$1999,"Holiday")+COUNTIFS(Attendance!$B$4:$B$1999,$A43,Attendance!$K$4:$K$1999,$B$3,Attendance!$D$4:$D$1999,"Weekly Off")))</x:f>
        <x:v>0</x:v>
      </x:c>
      <x:c r="J43" s="39" t="n">
        <x:f>IF($A43="","",SUMIFS(Attendance!$H$4:$H$1999,Attendance!$B$4:$B$1999,$A43,Attendance!$K$4:$K$1999,$B$3))</x:f>
        <x:v>0</x:v>
      </x:c>
      <x:c r="K43" s="40" t="n">
        <x:f>IF($A43="","",Employees!H41*I43)</x:f>
        <x:v>0</x:v>
      </x:c>
      <x:c r="L43" s="40" t="n">
        <x:f>IF($A43="","",Employees!I41*J43)</x:f>
        <x:v>0</x:v>
      </x:c>
      <x:c r="M43" s="40" t="n">
        <x:f>IF($A43="","",K43+L43)</x:f>
        <x:v>0</x:v>
      </x:c>
      <x:c r="N43" s="47"/>
      <x:c r="O43" s="40" t="n">
        <x:f>IF($A43="","",M43-N43)</x:f>
        <x:v>0</x:v>
      </x:c>
    </x:row>
    <x:row r="44">
      <x:c r="A44" s="42" t="str">
        <x:f>Employees!A42</x:f>
        <x:v>EMP039</x:v>
      </x:c>
      <x:c r="B44" s="42" t="n">
        <x:f>Employees!B42</x:f>
        <x:v>0</x:v>
      </x:c>
      <x:c r="C44" s="42" t="str">
        <x:f>IF(Employees!D42="","",Employees!D42)</x:f>
      </x:c>
      <x:c r="D44" s="40" t="str">
        <x:f>IF(Employees!G42="","",Employees!G42)</x:f>
      </x:c>
      <x:c r="E44" s="39" t="n">
        <x:f>IF($A44="","",I44/Setup!$B$4)</x:f>
        <x:v>0</x:v>
      </x:c>
      <x:c r="F44" s="39" t="n">
        <x:f>IF($A44="","",COUNTIFS(Attendance!$B$4:$B$1999,$A44,Attendance!$K$4:$K$1999,$B$3,Attendance!$D$4:$D$1999,"Present")+0.5*COUNTIFS(Attendance!$B$4:$B$1999,$A44,Attendance!$K$4:$K$1999,$B$3,Attendance!$D$4:$D$1999,"Half Day"))</x:f>
        <x:v>0</x:v>
      </x:c>
      <x:c r="G44" s="39" t="n">
        <x:f>IF($A44="","",COUNTIFS(Attendance!$B$4:$B$1999,$A44,Attendance!$K$4:$K$1999,$B$3,Attendance!$D$4:$D$1999,"Paid Leave"))</x:f>
        <x:v>0</x:v>
      </x:c>
      <x:c r="H44" s="39" t="n">
        <x:f>IF($A44="","",COUNTIFS(Attendance!$B$4:$B$1999,$A44,Attendance!$K$4:$K$1999,$B$3,Attendance!$D$4:$D$1999,"Absent")+COUNTIFS(Attendance!$B$4:$B$1999,$A44,Attendance!$K$4:$K$1999,$B$3,Attendance!$D$4:$D$1999,"Unpaid Leave"))</x:f>
        <x:v>0</x:v>
      </x:c>
      <x:c r="I44" s="39" t="n">
        <x:f>IF($A44="","",SUMIFS(Attendance!$G$4:$G$1999,Attendance!$B$4:$B$1999,$A44,Attendance!$K$4:$K$1999,$B$3)+Setup!$B$4*(COUNTIFS(Attendance!$B$4:$B$1999,$A44,Attendance!$K$4:$K$1999,$B$3,Attendance!$D$4:$D$1999,"Paid Leave")+COUNTIFS(Attendance!$B$4:$B$1999,$A44,Attendance!$K$4:$K$1999,$B$3,Attendance!$D$4:$D$1999,"Holiday")+COUNTIFS(Attendance!$B$4:$B$1999,$A44,Attendance!$K$4:$K$1999,$B$3,Attendance!$D$4:$D$1999,"Weekly Off")))</x:f>
        <x:v>0</x:v>
      </x:c>
      <x:c r="J44" s="39" t="n">
        <x:f>IF($A44="","",SUMIFS(Attendance!$H$4:$H$1999,Attendance!$B$4:$B$1999,$A44,Attendance!$K$4:$K$1999,$B$3))</x:f>
        <x:v>0</x:v>
      </x:c>
      <x:c r="K44" s="40" t="n">
        <x:f>IF($A44="","",Employees!H42*I44)</x:f>
        <x:v>0</x:v>
      </x:c>
      <x:c r="L44" s="40" t="n">
        <x:f>IF($A44="","",Employees!I42*J44)</x:f>
        <x:v>0</x:v>
      </x:c>
      <x:c r="M44" s="40" t="n">
        <x:f>IF($A44="","",K44+L44)</x:f>
        <x:v>0</x:v>
      </x:c>
      <x:c r="N44" s="47"/>
      <x:c r="O44" s="40" t="n">
        <x:f>IF($A44="","",M44-N44)</x:f>
        <x:v>0</x:v>
      </x:c>
    </x:row>
    <x:row r="45">
      <x:c r="A45" s="42" t="str">
        <x:f>Employees!A43</x:f>
        <x:v>EMP040</x:v>
      </x:c>
      <x:c r="B45" s="42" t="n">
        <x:f>Employees!B43</x:f>
        <x:v>0</x:v>
      </x:c>
      <x:c r="C45" s="42" t="str">
        <x:f>IF(Employees!D43="","",Employees!D43)</x:f>
      </x:c>
      <x:c r="D45" s="40" t="str">
        <x:f>IF(Employees!G43="","",Employees!G43)</x:f>
      </x:c>
      <x:c r="E45" s="39" t="n">
        <x:f>IF($A45="","",I45/Setup!$B$4)</x:f>
        <x:v>0</x:v>
      </x:c>
      <x:c r="F45" s="39" t="n">
        <x:f>IF($A45="","",COUNTIFS(Attendance!$B$4:$B$1999,$A45,Attendance!$K$4:$K$1999,$B$3,Attendance!$D$4:$D$1999,"Present")+0.5*COUNTIFS(Attendance!$B$4:$B$1999,$A45,Attendance!$K$4:$K$1999,$B$3,Attendance!$D$4:$D$1999,"Half Day"))</x:f>
        <x:v>0</x:v>
      </x:c>
      <x:c r="G45" s="39" t="n">
        <x:f>IF($A45="","",COUNTIFS(Attendance!$B$4:$B$1999,$A45,Attendance!$K$4:$K$1999,$B$3,Attendance!$D$4:$D$1999,"Paid Leave"))</x:f>
        <x:v>0</x:v>
      </x:c>
      <x:c r="H45" s="39" t="n">
        <x:f>IF($A45="","",COUNTIFS(Attendance!$B$4:$B$1999,$A45,Attendance!$K$4:$K$1999,$B$3,Attendance!$D$4:$D$1999,"Absent")+COUNTIFS(Attendance!$B$4:$B$1999,$A45,Attendance!$K$4:$K$1999,$B$3,Attendance!$D$4:$D$1999,"Unpaid Leave"))</x:f>
        <x:v>0</x:v>
      </x:c>
      <x:c r="I45" s="39" t="n">
        <x:f>IF($A45="","",SUMIFS(Attendance!$G$4:$G$1999,Attendance!$B$4:$B$1999,$A45,Attendance!$K$4:$K$1999,$B$3)+Setup!$B$4*(COUNTIFS(Attendance!$B$4:$B$1999,$A45,Attendance!$K$4:$K$1999,$B$3,Attendance!$D$4:$D$1999,"Paid Leave")+COUNTIFS(Attendance!$B$4:$B$1999,$A45,Attendance!$K$4:$K$1999,$B$3,Attendance!$D$4:$D$1999,"Holiday")+COUNTIFS(Attendance!$B$4:$B$1999,$A45,Attendance!$K$4:$K$1999,$B$3,Attendance!$D$4:$D$1999,"Weekly Off")))</x:f>
        <x:v>0</x:v>
      </x:c>
      <x:c r="J45" s="39" t="n">
        <x:f>IF($A45="","",SUMIFS(Attendance!$H$4:$H$1999,Attendance!$B$4:$B$1999,$A45,Attendance!$K$4:$K$1999,$B$3))</x:f>
        <x:v>0</x:v>
      </x:c>
      <x:c r="K45" s="40" t="n">
        <x:f>IF($A45="","",Employees!H43*I45)</x:f>
        <x:v>0</x:v>
      </x:c>
      <x:c r="L45" s="40" t="n">
        <x:f>IF($A45="","",Employees!I43*J45)</x:f>
        <x:v>0</x:v>
      </x:c>
      <x:c r="M45" s="40" t="n">
        <x:f>IF($A45="","",K45+L45)</x:f>
        <x:v>0</x:v>
      </x:c>
      <x:c r="N45" s="47"/>
      <x:c r="O45" s="40" t="n">
        <x:f>IF($A45="","",M45-N45)</x:f>
        <x:v>0</x:v>
      </x:c>
    </x:row>
    <x:row r="46">
      <x:c r="A46" s="42" t="str">
        <x:f>Employees!A44</x:f>
        <x:v>EMP041</x:v>
      </x:c>
      <x:c r="B46" s="42" t="n">
        <x:f>Employees!B44</x:f>
        <x:v>0</x:v>
      </x:c>
      <x:c r="C46" s="42" t="str">
        <x:f>IF(Employees!D44="","",Employees!D44)</x:f>
      </x:c>
      <x:c r="D46" s="40" t="str">
        <x:f>IF(Employees!G44="","",Employees!G44)</x:f>
      </x:c>
      <x:c r="E46" s="39" t="n">
        <x:f>IF($A46="","",I46/Setup!$B$4)</x:f>
        <x:v>0</x:v>
      </x:c>
      <x:c r="F46" s="39" t="n">
        <x:f>IF($A46="","",COUNTIFS(Attendance!$B$4:$B$1999,$A46,Attendance!$K$4:$K$1999,$B$3,Attendance!$D$4:$D$1999,"Present")+0.5*COUNTIFS(Attendance!$B$4:$B$1999,$A46,Attendance!$K$4:$K$1999,$B$3,Attendance!$D$4:$D$1999,"Half Day"))</x:f>
        <x:v>0</x:v>
      </x:c>
      <x:c r="G46" s="39" t="n">
        <x:f>IF($A46="","",COUNTIFS(Attendance!$B$4:$B$1999,$A46,Attendance!$K$4:$K$1999,$B$3,Attendance!$D$4:$D$1999,"Paid Leave"))</x:f>
        <x:v>0</x:v>
      </x:c>
      <x:c r="H46" s="39" t="n">
        <x:f>IF($A46="","",COUNTIFS(Attendance!$B$4:$B$1999,$A46,Attendance!$K$4:$K$1999,$B$3,Attendance!$D$4:$D$1999,"Absent")+COUNTIFS(Attendance!$B$4:$B$1999,$A46,Attendance!$K$4:$K$1999,$B$3,Attendance!$D$4:$D$1999,"Unpaid Leave"))</x:f>
        <x:v>0</x:v>
      </x:c>
      <x:c r="I46" s="39" t="n">
        <x:f>IF($A46="","",SUMIFS(Attendance!$G$4:$G$1999,Attendance!$B$4:$B$1999,$A46,Attendance!$K$4:$K$1999,$B$3)+Setup!$B$4*(COUNTIFS(Attendance!$B$4:$B$1999,$A46,Attendance!$K$4:$K$1999,$B$3,Attendance!$D$4:$D$1999,"Paid Leave")+COUNTIFS(Attendance!$B$4:$B$1999,$A46,Attendance!$K$4:$K$1999,$B$3,Attendance!$D$4:$D$1999,"Holiday")+COUNTIFS(Attendance!$B$4:$B$1999,$A46,Attendance!$K$4:$K$1999,$B$3,Attendance!$D$4:$D$1999,"Weekly Off")))</x:f>
        <x:v>0</x:v>
      </x:c>
      <x:c r="J46" s="39" t="n">
        <x:f>IF($A46="","",SUMIFS(Attendance!$H$4:$H$1999,Attendance!$B$4:$B$1999,$A46,Attendance!$K$4:$K$1999,$B$3))</x:f>
        <x:v>0</x:v>
      </x:c>
      <x:c r="K46" s="40" t="n">
        <x:f>IF($A46="","",Employees!H44*I46)</x:f>
        <x:v>0</x:v>
      </x:c>
      <x:c r="L46" s="40" t="n">
        <x:f>IF($A46="","",Employees!I44*J46)</x:f>
        <x:v>0</x:v>
      </x:c>
      <x:c r="M46" s="40" t="n">
        <x:f>IF($A46="","",K46+L46)</x:f>
        <x:v>0</x:v>
      </x:c>
      <x:c r="N46" s="47"/>
      <x:c r="O46" s="40" t="n">
        <x:f>IF($A46="","",M46-N46)</x:f>
        <x:v>0</x:v>
      </x:c>
    </x:row>
    <x:row r="47">
      <x:c r="A47" s="42" t="str">
        <x:f>Employees!A45</x:f>
        <x:v>EMP042</x:v>
      </x:c>
      <x:c r="B47" s="42" t="n">
        <x:f>Employees!B45</x:f>
        <x:v>0</x:v>
      </x:c>
      <x:c r="C47" s="42" t="str">
        <x:f>IF(Employees!D45="","",Employees!D45)</x:f>
      </x:c>
      <x:c r="D47" s="40" t="str">
        <x:f>IF(Employees!G45="","",Employees!G45)</x:f>
      </x:c>
      <x:c r="E47" s="39" t="n">
        <x:f>IF($A47="","",I47/Setup!$B$4)</x:f>
        <x:v>0</x:v>
      </x:c>
      <x:c r="F47" s="39" t="n">
        <x:f>IF($A47="","",COUNTIFS(Attendance!$B$4:$B$1999,$A47,Attendance!$K$4:$K$1999,$B$3,Attendance!$D$4:$D$1999,"Present")+0.5*COUNTIFS(Attendance!$B$4:$B$1999,$A47,Attendance!$K$4:$K$1999,$B$3,Attendance!$D$4:$D$1999,"Half Day"))</x:f>
        <x:v>0</x:v>
      </x:c>
      <x:c r="G47" s="39" t="n">
        <x:f>IF($A47="","",COUNTIFS(Attendance!$B$4:$B$1999,$A47,Attendance!$K$4:$K$1999,$B$3,Attendance!$D$4:$D$1999,"Paid Leave"))</x:f>
        <x:v>0</x:v>
      </x:c>
      <x:c r="H47" s="39" t="n">
        <x:f>IF($A47="","",COUNTIFS(Attendance!$B$4:$B$1999,$A47,Attendance!$K$4:$K$1999,$B$3,Attendance!$D$4:$D$1999,"Absent")+COUNTIFS(Attendance!$B$4:$B$1999,$A47,Attendance!$K$4:$K$1999,$B$3,Attendance!$D$4:$D$1999,"Unpaid Leave"))</x:f>
        <x:v>0</x:v>
      </x:c>
      <x:c r="I47" s="39" t="n">
        <x:f>IF($A47="","",SUMIFS(Attendance!$G$4:$G$1999,Attendance!$B$4:$B$1999,$A47,Attendance!$K$4:$K$1999,$B$3)+Setup!$B$4*(COUNTIFS(Attendance!$B$4:$B$1999,$A47,Attendance!$K$4:$K$1999,$B$3,Attendance!$D$4:$D$1999,"Paid Leave")+COUNTIFS(Attendance!$B$4:$B$1999,$A47,Attendance!$K$4:$K$1999,$B$3,Attendance!$D$4:$D$1999,"Holiday")+COUNTIFS(Attendance!$B$4:$B$1999,$A47,Attendance!$K$4:$K$1999,$B$3,Attendance!$D$4:$D$1999,"Weekly Off")))</x:f>
        <x:v>0</x:v>
      </x:c>
      <x:c r="J47" s="39" t="n">
        <x:f>IF($A47="","",SUMIFS(Attendance!$H$4:$H$1999,Attendance!$B$4:$B$1999,$A47,Attendance!$K$4:$K$1999,$B$3))</x:f>
        <x:v>0</x:v>
      </x:c>
      <x:c r="K47" s="40" t="n">
        <x:f>IF($A47="","",Employees!H45*I47)</x:f>
        <x:v>0</x:v>
      </x:c>
      <x:c r="L47" s="40" t="n">
        <x:f>IF($A47="","",Employees!I45*J47)</x:f>
        <x:v>0</x:v>
      </x:c>
      <x:c r="M47" s="40" t="n">
        <x:f>IF($A47="","",K47+L47)</x:f>
        <x:v>0</x:v>
      </x:c>
      <x:c r="N47" s="47"/>
      <x:c r="O47" s="40" t="n">
        <x:f>IF($A47="","",M47-N47)</x:f>
        <x:v>0</x:v>
      </x:c>
    </x:row>
    <x:row r="48">
      <x:c r="A48" s="42" t="str">
        <x:f>Employees!A46</x:f>
        <x:v>EMP043</x:v>
      </x:c>
      <x:c r="B48" s="42" t="n">
        <x:f>Employees!B46</x:f>
        <x:v>0</x:v>
      </x:c>
      <x:c r="C48" s="42" t="str">
        <x:f>IF(Employees!D46="","",Employees!D46)</x:f>
      </x:c>
      <x:c r="D48" s="40" t="str">
        <x:f>IF(Employees!G46="","",Employees!G46)</x:f>
      </x:c>
      <x:c r="E48" s="39" t="n">
        <x:f>IF($A48="","",I48/Setup!$B$4)</x:f>
        <x:v>0</x:v>
      </x:c>
      <x:c r="F48" s="39" t="n">
        <x:f>IF($A48="","",COUNTIFS(Attendance!$B$4:$B$1999,$A48,Attendance!$K$4:$K$1999,$B$3,Attendance!$D$4:$D$1999,"Present")+0.5*COUNTIFS(Attendance!$B$4:$B$1999,$A48,Attendance!$K$4:$K$1999,$B$3,Attendance!$D$4:$D$1999,"Half Day"))</x:f>
        <x:v>0</x:v>
      </x:c>
      <x:c r="G48" s="39" t="n">
        <x:f>IF($A48="","",COUNTIFS(Attendance!$B$4:$B$1999,$A48,Attendance!$K$4:$K$1999,$B$3,Attendance!$D$4:$D$1999,"Paid Leave"))</x:f>
        <x:v>0</x:v>
      </x:c>
      <x:c r="H48" s="39" t="n">
        <x:f>IF($A48="","",COUNTIFS(Attendance!$B$4:$B$1999,$A48,Attendance!$K$4:$K$1999,$B$3,Attendance!$D$4:$D$1999,"Absent")+COUNTIFS(Attendance!$B$4:$B$1999,$A48,Attendance!$K$4:$K$1999,$B$3,Attendance!$D$4:$D$1999,"Unpaid Leave"))</x:f>
        <x:v>0</x:v>
      </x:c>
      <x:c r="I48" s="39" t="n">
        <x:f>IF($A48="","",SUMIFS(Attendance!$G$4:$G$1999,Attendance!$B$4:$B$1999,$A48,Attendance!$K$4:$K$1999,$B$3)+Setup!$B$4*(COUNTIFS(Attendance!$B$4:$B$1999,$A48,Attendance!$K$4:$K$1999,$B$3,Attendance!$D$4:$D$1999,"Paid Leave")+COUNTIFS(Attendance!$B$4:$B$1999,$A48,Attendance!$K$4:$K$1999,$B$3,Attendance!$D$4:$D$1999,"Holiday")+COUNTIFS(Attendance!$B$4:$B$1999,$A48,Attendance!$K$4:$K$1999,$B$3,Attendance!$D$4:$D$1999,"Weekly Off")))</x:f>
        <x:v>0</x:v>
      </x:c>
      <x:c r="J48" s="39" t="n">
        <x:f>IF($A48="","",SUMIFS(Attendance!$H$4:$H$1999,Attendance!$B$4:$B$1999,$A48,Attendance!$K$4:$K$1999,$B$3))</x:f>
        <x:v>0</x:v>
      </x:c>
      <x:c r="K48" s="40" t="n">
        <x:f>IF($A48="","",Employees!H46*I48)</x:f>
        <x:v>0</x:v>
      </x:c>
      <x:c r="L48" s="40" t="n">
        <x:f>IF($A48="","",Employees!I46*J48)</x:f>
        <x:v>0</x:v>
      </x:c>
      <x:c r="M48" s="40" t="n">
        <x:f>IF($A48="","",K48+L48)</x:f>
        <x:v>0</x:v>
      </x:c>
      <x:c r="N48" s="47"/>
      <x:c r="O48" s="40" t="n">
        <x:f>IF($A48="","",M48-N48)</x:f>
        <x:v>0</x:v>
      </x:c>
    </x:row>
    <x:row r="49">
      <x:c r="A49" s="42" t="str">
        <x:f>Employees!A47</x:f>
        <x:v>EMP044</x:v>
      </x:c>
      <x:c r="B49" s="42" t="n">
        <x:f>Employees!B47</x:f>
        <x:v>0</x:v>
      </x:c>
      <x:c r="C49" s="42" t="str">
        <x:f>IF(Employees!D47="","",Employees!D47)</x:f>
      </x:c>
      <x:c r="D49" s="40" t="str">
        <x:f>IF(Employees!G47="","",Employees!G47)</x:f>
      </x:c>
      <x:c r="E49" s="39" t="n">
        <x:f>IF($A49="","",I49/Setup!$B$4)</x:f>
        <x:v>0</x:v>
      </x:c>
      <x:c r="F49" s="39" t="n">
        <x:f>IF($A49="","",COUNTIFS(Attendance!$B$4:$B$1999,$A49,Attendance!$K$4:$K$1999,$B$3,Attendance!$D$4:$D$1999,"Present")+0.5*COUNTIFS(Attendance!$B$4:$B$1999,$A49,Attendance!$K$4:$K$1999,$B$3,Attendance!$D$4:$D$1999,"Half Day"))</x:f>
        <x:v>0</x:v>
      </x:c>
      <x:c r="G49" s="39" t="n">
        <x:f>IF($A49="","",COUNTIFS(Attendance!$B$4:$B$1999,$A49,Attendance!$K$4:$K$1999,$B$3,Attendance!$D$4:$D$1999,"Paid Leave"))</x:f>
        <x:v>0</x:v>
      </x:c>
      <x:c r="H49" s="39" t="n">
        <x:f>IF($A49="","",COUNTIFS(Attendance!$B$4:$B$1999,$A49,Attendance!$K$4:$K$1999,$B$3,Attendance!$D$4:$D$1999,"Absent")+COUNTIFS(Attendance!$B$4:$B$1999,$A49,Attendance!$K$4:$K$1999,$B$3,Attendance!$D$4:$D$1999,"Unpaid Leave"))</x:f>
        <x:v>0</x:v>
      </x:c>
      <x:c r="I49" s="39" t="n">
        <x:f>IF($A49="","",SUMIFS(Attendance!$G$4:$G$1999,Attendance!$B$4:$B$1999,$A49,Attendance!$K$4:$K$1999,$B$3)+Setup!$B$4*(COUNTIFS(Attendance!$B$4:$B$1999,$A49,Attendance!$K$4:$K$1999,$B$3,Attendance!$D$4:$D$1999,"Paid Leave")+COUNTIFS(Attendance!$B$4:$B$1999,$A49,Attendance!$K$4:$K$1999,$B$3,Attendance!$D$4:$D$1999,"Holiday")+COUNTIFS(Attendance!$B$4:$B$1999,$A49,Attendance!$K$4:$K$1999,$B$3,Attendance!$D$4:$D$1999,"Weekly Off")))</x:f>
        <x:v>0</x:v>
      </x:c>
      <x:c r="J49" s="39" t="n">
        <x:f>IF($A49="","",SUMIFS(Attendance!$H$4:$H$1999,Attendance!$B$4:$B$1999,$A49,Attendance!$K$4:$K$1999,$B$3))</x:f>
        <x:v>0</x:v>
      </x:c>
      <x:c r="K49" s="40" t="n">
        <x:f>IF($A49="","",Employees!H47*I49)</x:f>
        <x:v>0</x:v>
      </x:c>
      <x:c r="L49" s="40" t="n">
        <x:f>IF($A49="","",Employees!I47*J49)</x:f>
        <x:v>0</x:v>
      </x:c>
      <x:c r="M49" s="40" t="n">
        <x:f>IF($A49="","",K49+L49)</x:f>
        <x:v>0</x:v>
      </x:c>
      <x:c r="N49" s="47"/>
      <x:c r="O49" s="40" t="n">
        <x:f>IF($A49="","",M49-N49)</x:f>
        <x:v>0</x:v>
      </x:c>
    </x:row>
    <x:row r="50">
      <x:c r="A50" s="42" t="str">
        <x:f>Employees!A48</x:f>
        <x:v>EMP045</x:v>
      </x:c>
      <x:c r="B50" s="42" t="n">
        <x:f>Employees!B48</x:f>
        <x:v>0</x:v>
      </x:c>
      <x:c r="C50" s="42" t="str">
        <x:f>IF(Employees!D48="","",Employees!D48)</x:f>
      </x:c>
      <x:c r="D50" s="40" t="str">
        <x:f>IF(Employees!G48="","",Employees!G48)</x:f>
      </x:c>
      <x:c r="E50" s="39" t="n">
        <x:f>IF($A50="","",I50/Setup!$B$4)</x:f>
        <x:v>0</x:v>
      </x:c>
      <x:c r="F50" s="39" t="n">
        <x:f>IF($A50="","",COUNTIFS(Attendance!$B$4:$B$1999,$A50,Attendance!$K$4:$K$1999,$B$3,Attendance!$D$4:$D$1999,"Present")+0.5*COUNTIFS(Attendance!$B$4:$B$1999,$A50,Attendance!$K$4:$K$1999,$B$3,Attendance!$D$4:$D$1999,"Half Day"))</x:f>
        <x:v>0</x:v>
      </x:c>
      <x:c r="G50" s="39" t="n">
        <x:f>IF($A50="","",COUNTIFS(Attendance!$B$4:$B$1999,$A50,Attendance!$K$4:$K$1999,$B$3,Attendance!$D$4:$D$1999,"Paid Leave"))</x:f>
        <x:v>0</x:v>
      </x:c>
      <x:c r="H50" s="39" t="n">
        <x:f>IF($A50="","",COUNTIFS(Attendance!$B$4:$B$1999,$A50,Attendance!$K$4:$K$1999,$B$3,Attendance!$D$4:$D$1999,"Absent")+COUNTIFS(Attendance!$B$4:$B$1999,$A50,Attendance!$K$4:$K$1999,$B$3,Attendance!$D$4:$D$1999,"Unpaid Leave"))</x:f>
        <x:v>0</x:v>
      </x:c>
      <x:c r="I50" s="39" t="n">
        <x:f>IF($A50="","",SUMIFS(Attendance!$G$4:$G$1999,Attendance!$B$4:$B$1999,$A50,Attendance!$K$4:$K$1999,$B$3)+Setup!$B$4*(COUNTIFS(Attendance!$B$4:$B$1999,$A50,Attendance!$K$4:$K$1999,$B$3,Attendance!$D$4:$D$1999,"Paid Leave")+COUNTIFS(Attendance!$B$4:$B$1999,$A50,Attendance!$K$4:$K$1999,$B$3,Attendance!$D$4:$D$1999,"Holiday")+COUNTIFS(Attendance!$B$4:$B$1999,$A50,Attendance!$K$4:$K$1999,$B$3,Attendance!$D$4:$D$1999,"Weekly Off")))</x:f>
        <x:v>0</x:v>
      </x:c>
      <x:c r="J50" s="39" t="n">
        <x:f>IF($A50="","",SUMIFS(Attendance!$H$4:$H$1999,Attendance!$B$4:$B$1999,$A50,Attendance!$K$4:$K$1999,$B$3))</x:f>
        <x:v>0</x:v>
      </x:c>
      <x:c r="K50" s="40" t="n">
        <x:f>IF($A50="","",Employees!H48*I50)</x:f>
        <x:v>0</x:v>
      </x:c>
      <x:c r="L50" s="40" t="n">
        <x:f>IF($A50="","",Employees!I48*J50)</x:f>
        <x:v>0</x:v>
      </x:c>
      <x:c r="M50" s="40" t="n">
        <x:f>IF($A50="","",K50+L50)</x:f>
        <x:v>0</x:v>
      </x:c>
      <x:c r="N50" s="47"/>
      <x:c r="O50" s="40" t="n">
        <x:f>IF($A50="","",M50-N50)</x:f>
        <x:v>0</x:v>
      </x:c>
    </x:row>
    <x:row r="51">
      <x:c r="A51" s="42" t="str">
        <x:f>Employees!A49</x:f>
        <x:v>EMP046</x:v>
      </x:c>
      <x:c r="B51" s="42" t="n">
        <x:f>Employees!B49</x:f>
        <x:v>0</x:v>
      </x:c>
      <x:c r="C51" s="42" t="str">
        <x:f>IF(Employees!D49="","",Employees!D49)</x:f>
      </x:c>
      <x:c r="D51" s="40" t="str">
        <x:f>IF(Employees!G49="","",Employees!G49)</x:f>
      </x:c>
      <x:c r="E51" s="39" t="n">
        <x:f>IF($A51="","",I51/Setup!$B$4)</x:f>
        <x:v>0</x:v>
      </x:c>
      <x:c r="F51" s="39" t="n">
        <x:f>IF($A51="","",COUNTIFS(Attendance!$B$4:$B$1999,$A51,Attendance!$K$4:$K$1999,$B$3,Attendance!$D$4:$D$1999,"Present")+0.5*COUNTIFS(Attendance!$B$4:$B$1999,$A51,Attendance!$K$4:$K$1999,$B$3,Attendance!$D$4:$D$1999,"Half Day"))</x:f>
        <x:v>0</x:v>
      </x:c>
      <x:c r="G51" s="39" t="n">
        <x:f>IF($A51="","",COUNTIFS(Attendance!$B$4:$B$1999,$A51,Attendance!$K$4:$K$1999,$B$3,Attendance!$D$4:$D$1999,"Paid Leave"))</x:f>
        <x:v>0</x:v>
      </x:c>
      <x:c r="H51" s="39" t="n">
        <x:f>IF($A51="","",COUNTIFS(Attendance!$B$4:$B$1999,$A51,Attendance!$K$4:$K$1999,$B$3,Attendance!$D$4:$D$1999,"Absent")+COUNTIFS(Attendance!$B$4:$B$1999,$A51,Attendance!$K$4:$K$1999,$B$3,Attendance!$D$4:$D$1999,"Unpaid Leave"))</x:f>
        <x:v>0</x:v>
      </x:c>
      <x:c r="I51" s="39" t="n">
        <x:f>IF($A51="","",SUMIFS(Attendance!$G$4:$G$1999,Attendance!$B$4:$B$1999,$A51,Attendance!$K$4:$K$1999,$B$3)+Setup!$B$4*(COUNTIFS(Attendance!$B$4:$B$1999,$A51,Attendance!$K$4:$K$1999,$B$3,Attendance!$D$4:$D$1999,"Paid Leave")+COUNTIFS(Attendance!$B$4:$B$1999,$A51,Attendance!$K$4:$K$1999,$B$3,Attendance!$D$4:$D$1999,"Holiday")+COUNTIFS(Attendance!$B$4:$B$1999,$A51,Attendance!$K$4:$K$1999,$B$3,Attendance!$D$4:$D$1999,"Weekly Off")))</x:f>
        <x:v>0</x:v>
      </x:c>
      <x:c r="J51" s="39" t="n">
        <x:f>IF($A51="","",SUMIFS(Attendance!$H$4:$H$1999,Attendance!$B$4:$B$1999,$A51,Attendance!$K$4:$K$1999,$B$3))</x:f>
        <x:v>0</x:v>
      </x:c>
      <x:c r="K51" s="40" t="n">
        <x:f>IF($A51="","",Employees!H49*I51)</x:f>
        <x:v>0</x:v>
      </x:c>
      <x:c r="L51" s="40" t="n">
        <x:f>IF($A51="","",Employees!I49*J51)</x:f>
        <x:v>0</x:v>
      </x:c>
      <x:c r="M51" s="40" t="n">
        <x:f>IF($A51="","",K51+L51)</x:f>
        <x:v>0</x:v>
      </x:c>
      <x:c r="N51" s="47"/>
      <x:c r="O51" s="40" t="n">
        <x:f>IF($A51="","",M51-N51)</x:f>
        <x:v>0</x:v>
      </x:c>
    </x:row>
    <x:row r="52">
      <x:c r="A52" s="42" t="str">
        <x:f>Employees!A50</x:f>
        <x:v>EMP047</x:v>
      </x:c>
      <x:c r="B52" s="42" t="n">
        <x:f>Employees!B50</x:f>
        <x:v>0</x:v>
      </x:c>
      <x:c r="C52" s="42" t="str">
        <x:f>IF(Employees!D50="","",Employees!D50)</x:f>
      </x:c>
      <x:c r="D52" s="40" t="str">
        <x:f>IF(Employees!G50="","",Employees!G50)</x:f>
      </x:c>
      <x:c r="E52" s="39" t="n">
        <x:f>IF($A52="","",I52/Setup!$B$4)</x:f>
        <x:v>0</x:v>
      </x:c>
      <x:c r="F52" s="39" t="n">
        <x:f>IF($A52="","",COUNTIFS(Attendance!$B$4:$B$1999,$A52,Attendance!$K$4:$K$1999,$B$3,Attendance!$D$4:$D$1999,"Present")+0.5*COUNTIFS(Attendance!$B$4:$B$1999,$A52,Attendance!$K$4:$K$1999,$B$3,Attendance!$D$4:$D$1999,"Half Day"))</x:f>
        <x:v>0</x:v>
      </x:c>
      <x:c r="G52" s="39" t="n">
        <x:f>IF($A52="","",COUNTIFS(Attendance!$B$4:$B$1999,$A52,Attendance!$K$4:$K$1999,$B$3,Attendance!$D$4:$D$1999,"Paid Leave"))</x:f>
        <x:v>0</x:v>
      </x:c>
      <x:c r="H52" s="39" t="n">
        <x:f>IF($A52="","",COUNTIFS(Attendance!$B$4:$B$1999,$A52,Attendance!$K$4:$K$1999,$B$3,Attendance!$D$4:$D$1999,"Absent")+COUNTIFS(Attendance!$B$4:$B$1999,$A52,Attendance!$K$4:$K$1999,$B$3,Attendance!$D$4:$D$1999,"Unpaid Leave"))</x:f>
        <x:v>0</x:v>
      </x:c>
      <x:c r="I52" s="39" t="n">
        <x:f>IF($A52="","",SUMIFS(Attendance!$G$4:$G$1999,Attendance!$B$4:$B$1999,$A52,Attendance!$K$4:$K$1999,$B$3)+Setup!$B$4*(COUNTIFS(Attendance!$B$4:$B$1999,$A52,Attendance!$K$4:$K$1999,$B$3,Attendance!$D$4:$D$1999,"Paid Leave")+COUNTIFS(Attendance!$B$4:$B$1999,$A52,Attendance!$K$4:$K$1999,$B$3,Attendance!$D$4:$D$1999,"Holiday")+COUNTIFS(Attendance!$B$4:$B$1999,$A52,Attendance!$K$4:$K$1999,$B$3,Attendance!$D$4:$D$1999,"Weekly Off")))</x:f>
        <x:v>0</x:v>
      </x:c>
      <x:c r="J52" s="39" t="n">
        <x:f>IF($A52="","",SUMIFS(Attendance!$H$4:$H$1999,Attendance!$B$4:$B$1999,$A52,Attendance!$K$4:$K$1999,$B$3))</x:f>
        <x:v>0</x:v>
      </x:c>
      <x:c r="K52" s="40" t="n">
        <x:f>IF($A52="","",Employees!H50*I52)</x:f>
        <x:v>0</x:v>
      </x:c>
      <x:c r="L52" s="40" t="n">
        <x:f>IF($A52="","",Employees!I50*J52)</x:f>
        <x:v>0</x:v>
      </x:c>
      <x:c r="M52" s="40" t="n">
        <x:f>IF($A52="","",K52+L52)</x:f>
        <x:v>0</x:v>
      </x:c>
      <x:c r="N52" s="47"/>
      <x:c r="O52" s="40" t="n">
        <x:f>IF($A52="","",M52-N52)</x:f>
        <x:v>0</x:v>
      </x:c>
    </x:row>
    <x:row r="53">
      <x:c r="A53" s="42" t="str">
        <x:f>Employees!A51</x:f>
        <x:v>EMP048</x:v>
      </x:c>
      <x:c r="B53" s="42" t="n">
        <x:f>Employees!B51</x:f>
        <x:v>0</x:v>
      </x:c>
      <x:c r="C53" s="42" t="str">
        <x:f>IF(Employees!D51="","",Employees!D51)</x:f>
      </x:c>
      <x:c r="D53" s="40" t="str">
        <x:f>IF(Employees!G51="","",Employees!G51)</x:f>
      </x:c>
      <x:c r="E53" s="39" t="n">
        <x:f>IF($A53="","",I53/Setup!$B$4)</x:f>
        <x:v>0</x:v>
      </x:c>
      <x:c r="F53" s="39" t="n">
        <x:f>IF($A53="","",COUNTIFS(Attendance!$B$4:$B$1999,$A53,Attendance!$K$4:$K$1999,$B$3,Attendance!$D$4:$D$1999,"Present")+0.5*COUNTIFS(Attendance!$B$4:$B$1999,$A53,Attendance!$K$4:$K$1999,$B$3,Attendance!$D$4:$D$1999,"Half Day"))</x:f>
        <x:v>0</x:v>
      </x:c>
      <x:c r="G53" s="39" t="n">
        <x:f>IF($A53="","",COUNTIFS(Attendance!$B$4:$B$1999,$A53,Attendance!$K$4:$K$1999,$B$3,Attendance!$D$4:$D$1999,"Paid Leave"))</x:f>
        <x:v>0</x:v>
      </x:c>
      <x:c r="H53" s="39" t="n">
        <x:f>IF($A53="","",COUNTIFS(Attendance!$B$4:$B$1999,$A53,Attendance!$K$4:$K$1999,$B$3,Attendance!$D$4:$D$1999,"Absent")+COUNTIFS(Attendance!$B$4:$B$1999,$A53,Attendance!$K$4:$K$1999,$B$3,Attendance!$D$4:$D$1999,"Unpaid Leave"))</x:f>
        <x:v>0</x:v>
      </x:c>
      <x:c r="I53" s="39" t="n">
        <x:f>IF($A53="","",SUMIFS(Attendance!$G$4:$G$1999,Attendance!$B$4:$B$1999,$A53,Attendance!$K$4:$K$1999,$B$3)+Setup!$B$4*(COUNTIFS(Attendance!$B$4:$B$1999,$A53,Attendance!$K$4:$K$1999,$B$3,Attendance!$D$4:$D$1999,"Paid Leave")+COUNTIFS(Attendance!$B$4:$B$1999,$A53,Attendance!$K$4:$K$1999,$B$3,Attendance!$D$4:$D$1999,"Holiday")+COUNTIFS(Attendance!$B$4:$B$1999,$A53,Attendance!$K$4:$K$1999,$B$3,Attendance!$D$4:$D$1999,"Weekly Off")))</x:f>
        <x:v>0</x:v>
      </x:c>
      <x:c r="J53" s="39" t="n">
        <x:f>IF($A53="","",SUMIFS(Attendance!$H$4:$H$1999,Attendance!$B$4:$B$1999,$A53,Attendance!$K$4:$K$1999,$B$3))</x:f>
        <x:v>0</x:v>
      </x:c>
      <x:c r="K53" s="40" t="n">
        <x:f>IF($A53="","",Employees!H51*I53)</x:f>
        <x:v>0</x:v>
      </x:c>
      <x:c r="L53" s="40" t="n">
        <x:f>IF($A53="","",Employees!I51*J53)</x:f>
        <x:v>0</x:v>
      </x:c>
      <x:c r="M53" s="40" t="n">
        <x:f>IF($A53="","",K53+L53)</x:f>
        <x:v>0</x:v>
      </x:c>
      <x:c r="N53" s="47"/>
      <x:c r="O53" s="40" t="n">
        <x:f>IF($A53="","",M53-N53)</x:f>
        <x:v>0</x:v>
      </x:c>
    </x:row>
    <x:row r="54">
      <x:c r="A54" s="42" t="str">
        <x:f>Employees!A52</x:f>
        <x:v>EMP049</x:v>
      </x:c>
      <x:c r="B54" s="42" t="n">
        <x:f>Employees!B52</x:f>
        <x:v>0</x:v>
      </x:c>
      <x:c r="C54" s="42" t="str">
        <x:f>IF(Employees!D52="","",Employees!D52)</x:f>
      </x:c>
      <x:c r="D54" s="40" t="str">
        <x:f>IF(Employees!G52="","",Employees!G52)</x:f>
      </x:c>
      <x:c r="E54" s="39" t="n">
        <x:f>IF($A54="","",I54/Setup!$B$4)</x:f>
        <x:v>0</x:v>
      </x:c>
      <x:c r="F54" s="39" t="n">
        <x:f>IF($A54="","",COUNTIFS(Attendance!$B$4:$B$1999,$A54,Attendance!$K$4:$K$1999,$B$3,Attendance!$D$4:$D$1999,"Present")+0.5*COUNTIFS(Attendance!$B$4:$B$1999,$A54,Attendance!$K$4:$K$1999,$B$3,Attendance!$D$4:$D$1999,"Half Day"))</x:f>
        <x:v>0</x:v>
      </x:c>
      <x:c r="G54" s="39" t="n">
        <x:f>IF($A54="","",COUNTIFS(Attendance!$B$4:$B$1999,$A54,Attendance!$K$4:$K$1999,$B$3,Attendance!$D$4:$D$1999,"Paid Leave"))</x:f>
        <x:v>0</x:v>
      </x:c>
      <x:c r="H54" s="39" t="n">
        <x:f>IF($A54="","",COUNTIFS(Attendance!$B$4:$B$1999,$A54,Attendance!$K$4:$K$1999,$B$3,Attendance!$D$4:$D$1999,"Absent")+COUNTIFS(Attendance!$B$4:$B$1999,$A54,Attendance!$K$4:$K$1999,$B$3,Attendance!$D$4:$D$1999,"Unpaid Leave"))</x:f>
        <x:v>0</x:v>
      </x:c>
      <x:c r="I54" s="39" t="n">
        <x:f>IF($A54="","",SUMIFS(Attendance!$G$4:$G$1999,Attendance!$B$4:$B$1999,$A54,Attendance!$K$4:$K$1999,$B$3)+Setup!$B$4*(COUNTIFS(Attendance!$B$4:$B$1999,$A54,Attendance!$K$4:$K$1999,$B$3,Attendance!$D$4:$D$1999,"Paid Leave")+COUNTIFS(Attendance!$B$4:$B$1999,$A54,Attendance!$K$4:$K$1999,$B$3,Attendance!$D$4:$D$1999,"Holiday")+COUNTIFS(Attendance!$B$4:$B$1999,$A54,Attendance!$K$4:$K$1999,$B$3,Attendance!$D$4:$D$1999,"Weekly Off")))</x:f>
        <x:v>0</x:v>
      </x:c>
      <x:c r="J54" s="39" t="n">
        <x:f>IF($A54="","",SUMIFS(Attendance!$H$4:$H$1999,Attendance!$B$4:$B$1999,$A54,Attendance!$K$4:$K$1999,$B$3))</x:f>
        <x:v>0</x:v>
      </x:c>
      <x:c r="K54" s="40" t="n">
        <x:f>IF($A54="","",Employees!H52*I54)</x:f>
        <x:v>0</x:v>
      </x:c>
      <x:c r="L54" s="40" t="n">
        <x:f>IF($A54="","",Employees!I52*J54)</x:f>
        <x:v>0</x:v>
      </x:c>
      <x:c r="M54" s="40" t="n">
        <x:f>IF($A54="","",K54+L54)</x:f>
        <x:v>0</x:v>
      </x:c>
      <x:c r="N54" s="47"/>
      <x:c r="O54" s="40" t="n">
        <x:f>IF($A54="","",M54-N54)</x:f>
        <x:v>0</x:v>
      </x:c>
    </x:row>
    <x:row r="55">
      <x:c r="A55" s="42" t="str">
        <x:f>Employees!A53</x:f>
        <x:v>EMP050</x:v>
      </x:c>
      <x:c r="B55" s="42" t="n">
        <x:f>Employees!B53</x:f>
        <x:v>0</x:v>
      </x:c>
      <x:c r="C55" s="42" t="str">
        <x:f>IF(Employees!D53="","",Employees!D53)</x:f>
      </x:c>
      <x:c r="D55" s="40" t="str">
        <x:f>IF(Employees!G53="","",Employees!G53)</x:f>
      </x:c>
      <x:c r="E55" s="39" t="n">
        <x:f>IF($A55="","",I55/Setup!$B$4)</x:f>
        <x:v>0</x:v>
      </x:c>
      <x:c r="F55" s="39" t="n">
        <x:f>IF($A55="","",COUNTIFS(Attendance!$B$4:$B$1999,$A55,Attendance!$K$4:$K$1999,$B$3,Attendance!$D$4:$D$1999,"Present")+0.5*COUNTIFS(Attendance!$B$4:$B$1999,$A55,Attendance!$K$4:$K$1999,$B$3,Attendance!$D$4:$D$1999,"Half Day"))</x:f>
        <x:v>0</x:v>
      </x:c>
      <x:c r="G55" s="39" t="n">
        <x:f>IF($A55="","",COUNTIFS(Attendance!$B$4:$B$1999,$A55,Attendance!$K$4:$K$1999,$B$3,Attendance!$D$4:$D$1999,"Paid Leave"))</x:f>
        <x:v>0</x:v>
      </x:c>
      <x:c r="H55" s="39" t="n">
        <x:f>IF($A55="","",COUNTIFS(Attendance!$B$4:$B$1999,$A55,Attendance!$K$4:$K$1999,$B$3,Attendance!$D$4:$D$1999,"Absent")+COUNTIFS(Attendance!$B$4:$B$1999,$A55,Attendance!$K$4:$K$1999,$B$3,Attendance!$D$4:$D$1999,"Unpaid Leave"))</x:f>
        <x:v>0</x:v>
      </x:c>
      <x:c r="I55" s="39" t="n">
        <x:f>IF($A55="","",SUMIFS(Attendance!$G$4:$G$1999,Attendance!$B$4:$B$1999,$A55,Attendance!$K$4:$K$1999,$B$3)+Setup!$B$4*(COUNTIFS(Attendance!$B$4:$B$1999,$A55,Attendance!$K$4:$K$1999,$B$3,Attendance!$D$4:$D$1999,"Paid Leave")+COUNTIFS(Attendance!$B$4:$B$1999,$A55,Attendance!$K$4:$K$1999,$B$3,Attendance!$D$4:$D$1999,"Holiday")+COUNTIFS(Attendance!$B$4:$B$1999,$A55,Attendance!$K$4:$K$1999,$B$3,Attendance!$D$4:$D$1999,"Weekly Off")))</x:f>
        <x:v>0</x:v>
      </x:c>
      <x:c r="J55" s="39" t="n">
        <x:f>IF($A55="","",SUMIFS(Attendance!$H$4:$H$1999,Attendance!$B$4:$B$1999,$A55,Attendance!$K$4:$K$1999,$B$3))</x:f>
        <x:v>0</x:v>
      </x:c>
      <x:c r="K55" s="40" t="n">
        <x:f>IF($A55="","",Employees!H53*I55)</x:f>
        <x:v>0</x:v>
      </x:c>
      <x:c r="L55" s="40" t="n">
        <x:f>IF($A55="","",Employees!I53*J55)</x:f>
        <x:v>0</x:v>
      </x:c>
      <x:c r="M55" s="40" t="n">
        <x:f>IF($A55="","",K55+L55)</x:f>
        <x:v>0</x:v>
      </x:c>
      <x:c r="N55" s="47"/>
      <x:c r="O55" s="40" t="n">
        <x:f>IF($A55="","",M55-N55)</x:f>
        <x:v>0</x:v>
      </x:c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17.790000915527344" hidden="0" customWidth="1"/>
    <x:col min="3" max="3" width="15.34000015258789" hidden="0" customWidth="1"/>
    <x:col min="4" max="4" width="15.34000015258789" hidden="0" customWidth="1"/>
    <x:col min="5" max="5" width="15.34000015258789" hidden="0" customWidth="1"/>
    <x:col min="6" max="6" width="15.34000015258789" hidden="0" customWidth="1"/>
  </x:cols>
  <x:sheetData>
    <x:row r="1" ht="27" customHeight="1">
      <x:c r="A1" s="30" t="str">
        <x:v>Monthly Payslip</x:v>
      </x:c>
      <x:c r="B1" s="30" t="str">
        <x:v>Monthly Payslip</x:v>
      </x:c>
      <x:c r="C1" s="30" t="str">
        <x:v>Monthly Payslip</x:v>
      </x:c>
      <x:c r="D1" s="30" t="str">
        <x:v>Monthly Payslip</x:v>
      </x:c>
      <x:c r="E1" s="30" t="str">
        <x:v>Monthly Payslip</x:v>
      </x:c>
      <x:c r="F1" s="30" t="str">
        <x:v>Monthly Payslip</x:v>
      </x:c>
      <x:c r="G1" s="31"/>
      <x:c r="H1" s="31"/>
      <x:c r="I1" s="31"/>
      <x:c r="J1" s="31"/>
      <x:c r="K1" s="31"/>
      <x:c r="L1" s="31"/>
      <x:c r="M1" s="31"/>
      <x:c r="N1" s="31"/>
      <x:c r="O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2" t="str">
        <x:v>Payroll month</x:v>
      </x:c>
      <x:c r="B3" s="33" t="n">
        <x:f>Payroll!B3</x:f>
        <x:v>46143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32" t="str">
        <x:v>Emp ID</x:v>
      </x:c>
      <x:c r="B4" s="34" t="str">
        <x:v>EMP001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32" t="str">
        <x:v>Employee Name</x:v>
      </x:c>
      <x:c r="B5" s="34" t="str">
        <x:f>XLOOKUP(B4,Payroll!$A$6:$A$55,Payroll!$B$6:$B$55,"")</x:f>
        <x:v>Staff 1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32" t="str">
        <x:v>Department</x:v>
      </x:c>
      <x:c r="B6" s="34" t="str">
        <x:f>XLOOKUP(B4,Payroll!$A$6:$A$55,Payroll!$C$6:$C$55,"")</x:f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32" t="str">
        <x:v>Payment Date</x:v>
      </x:c>
      <x:c r="B7" s="36" t="n">
        <x:f>Setup!B7</x:f>
        <x:v>46174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32" t="str">
        <x:v>Base Salary</x:v>
      </x:c>
      <x:c r="B8" s="48" t="n">
        <x:f>XLOOKUP(B4,Payroll!$A$6:$A$55,Payroll!$D$6:$D$55,"")</x:f>
        <x:v>20000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37" t="str">
        <x:v>Paid Days</x:v>
      </x:c>
      <x:c r="B10" s="37" t="str">
        <x:v>Regular Hours</x:v>
      </x:c>
      <x:c r="C10" s="37" t="str">
        <x:v>Overtime Hours</x:v>
      </x:c>
      <x:c r="D10" s="37" t="str">
        <x:v>Regular Pay</x:v>
      </x:c>
      <x:c r="E10" s="37" t="str">
        <x:v>Overtime Pay</x:v>
      </x:c>
      <x:c r="F10" s="37" t="str">
        <x:v>Net Pay</x:v>
      </x:c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39" t="n">
        <x:f>XLOOKUP($B$4,Payroll!$A$6:$A$55,Payroll!$E$6:$E$55,"")</x:f>
        <x:v>0</x:v>
      </x:c>
      <x:c r="B11" s="39" t="n">
        <x:f>XLOOKUP($B$4,Payroll!$A$6:$A$55,Payroll!$I$6:$I$55,"")</x:f>
        <x:v>0</x:v>
      </x:c>
      <x:c r="C11" s="39" t="n">
        <x:f>XLOOKUP($B$4,Payroll!$A$6:$A$55,Payroll!$J$6:$J$55,"")</x:f>
        <x:v>0</x:v>
      </x:c>
      <x:c r="D11" s="40" t="n">
        <x:f>XLOOKUP($B$4,Payroll!$A$6:$A$55,Payroll!$K$6:$K$55,"")</x:f>
        <x:v>0</x:v>
      </x:c>
      <x:c r="E11" s="40" t="n">
        <x:f>XLOOKUP($B$4,Payroll!$A$6:$A$55,Payroll!$L$6:$L$55,"")</x:f>
        <x:v>0</x:v>
      </x:c>
      <x:c r="F11" s="40" t="n">
        <x:f>XLOOKUP($B$4,Payroll!$A$6:$A$55,Payroll!$O$6:$O$55,"")</x:f>
        <x:v>0</x:v>
      </x:c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</x:sheetData>
  <x:mergeCells>
    <x:mergeCell ref="A1:F1"/>
  </x:mergeCells>
  <x:dataValidations count="1">
    <x:dataValidation type="list" allowBlank="0" showDropDown="0" sqref="B4">
      <x:formula1>Employees!$A$4:$A$53</x:formula1>
    </x:dataValidation>
  </x:dataValidations>
  <x:pageMargins left="0.7" right="0.7" top="0.75" bottom="0.75" header="0.3" footer="0.3"/>
</x:worksheet>
</file>